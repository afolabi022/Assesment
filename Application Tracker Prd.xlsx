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5600" windowHeight="10960" tabRatio="500" activeTab="1"/>
  </bookViews>
  <sheets>
    <sheet name="Dashboard" sheetId="1" r:id="rId1"/>
    <sheet name="Tracker" sheetId="2" r:id="rId2"/>
    <sheet name="Lists" sheetId="3" r:id="rId3"/>
  </sheets>
  <definedNames>
    <definedName name="_xlnm._FilterDatabase" localSheetId="1" hidden="1">Tracker!$A$4:$V$104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<sst xmlns="http://schemas.openxmlformats.org/spreadsheetml/2006/main" count="539" uniqueCount="229">
  <si>
    <t>helper</t>
  </si>
  <si>
    <t>APPLICATION COMMAND CENTRE</t>
  </si>
  <si>
    <t>Live metrics — updates automatically from the Tracker sheet</t>
  </si>
  <si>
    <t>TOTAL OPPORTUNITIES</t>
  </si>
  <si>
    <t>APPLICATIONS SUBMITTED</t>
  </si>
  <si>
    <t>DEADLINES IN 21 DAYS</t>
  </si>
  <si>
    <t>NEXT DEADLINE</t>
  </si>
  <si>
    <t>employers / roles tracked</t>
  </si>
  <si>
    <t>marked Applied = Yes</t>
  </si>
  <si>
    <t>not yet applied</t>
  </si>
  <si>
    <t>nearest open date</t>
  </si>
  <si>
    <t>ONLINE ASSESSMENTS</t>
  </si>
  <si>
    <t>INTERVIEWS</t>
  </si>
  <si>
    <t>ASSESSMENT CENTRES</t>
  </si>
  <si>
    <t>OFFERS</t>
  </si>
  <si>
    <t>invited or beyond</t>
  </si>
  <si>
    <t>received or accepted</t>
  </si>
  <si>
    <t>APPLICATION FUNNEL</t>
  </si>
  <si>
    <t>Stage</t>
  </si>
  <si>
    <t>Count</t>
  </si>
  <si>
    <t>% of Applied</t>
  </si>
  <si>
    <t>Applied</t>
  </si>
  <si>
    <t>Online Assessment</t>
  </si>
  <si>
    <t>Interview</t>
  </si>
  <si>
    <t>Assessment Centre</t>
  </si>
  <si>
    <t>Offer</t>
  </si>
  <si>
    <t>SPONSORSHIP OUTLOOK</t>
  </si>
  <si>
    <t>HOW TO USE</t>
  </si>
  <si>
    <t>Outlook</t>
  </si>
  <si>
    <t>Roles</t>
  </si>
  <si>
    <t>▸  Tracker is the single source of truth — everything here recalculates.</t>
  </si>
  <si>
    <t>High Potential</t>
  </si>
  <si>
    <t>▸  Dropdowns: Sponsorship, Priority, Applied?, Status, assessment stages, Offer.</t>
  </si>
  <si>
    <t>Check per role</t>
  </si>
  <si>
    <t>▸  Date cells (Deadline, Date Applied, stage dates) accept only valid dates.</t>
  </si>
  <si>
    <t>Selective</t>
  </si>
  <si>
    <t>▸  Press Ctrl + ;  to insert today's date; click a date cell for the prompt.</t>
  </si>
  <si>
    <t>Role Dependent</t>
  </si>
  <si>
    <t>▸  Days Left turns amber ≤21 days and red ≤7 days (hidden once Applied = Yes).</t>
  </si>
  <si>
    <t>Action Required</t>
  </si>
  <si>
    <t>▸  Add new employers in the next empty Tracker row (formatting runs to row 104).</t>
  </si>
  <si>
    <t>Restricted</t>
  </si>
  <si>
    <t>▸  Edit dropdown options any time on the Lists sheet.</t>
  </si>
  <si>
    <t>No Sponsorship</t>
  </si>
  <si>
    <t>Unconfirmed</t>
  </si>
  <si>
    <t>N/A</t>
  </si>
  <si>
    <t>Sponsorship data: UK Employer Tracker, 12 Oct 2026. Always confirm sponsor status on the UK Government Register of Licensed Sponsors (Workers) and salary thresholds before applying. Priority levels are suggested defaults and editable.</t>
  </si>
  <si>
    <t>UK EMPLOYER APPLICATION TRACKER</t>
  </si>
  <si>
    <t>IT Audit  ·  Technology Risk  ·  Data &amp; Analytics   |   Skilled Worker sponsorship pipeline   |   Baseline: 12 Oct 2026</t>
  </si>
  <si>
    <t>OPPORTUNITY</t>
  </si>
  <si>
    <t>APPLICATION</t>
  </si>
  <si>
    <t>ONLINE ASSESSMENT</t>
  </si>
  <si>
    <t>INTERVIEW</t>
  </si>
  <si>
    <t>ASSESSMENT CENTRE</t>
  </si>
  <si>
    <t>OFFER</t>
  </si>
  <si>
    <t>NOTES</t>
  </si>
  <si>
    <t>#</t>
  </si>
  <si>
    <t>Employer</t>
  </si>
  <si>
    <t>Sector</t>
  </si>
  <si>
    <t>Role / Opportunity</t>
  </si>
  <si>
    <t>Location</t>
  </si>
  <si>
    <t>Sponsorship</t>
  </si>
  <si>
    <t>Priority</t>
  </si>
  <si>
    <t>Deadline</t>
  </si>
  <si>
    <t>Days Left</t>
  </si>
  <si>
    <t>Applied?</t>
  </si>
  <si>
    <t>Date Applied</t>
  </si>
  <si>
    <t>Application Status</t>
  </si>
  <si>
    <t>Status</t>
  </si>
  <si>
    <t>Date</t>
  </si>
  <si>
    <t>Offer Date</t>
  </si>
  <si>
    <t>Next Action</t>
  </si>
  <si>
    <t>Notes / Sponsorship Detail</t>
  </si>
  <si>
    <t>CIL Strategy Consultants</t>
  </si>
  <si>
    <t>Consulting</t>
  </si>
  <si>
    <t>Data, Analytics &amp; AI Analyst</t>
  </si>
  <si>
    <t>London / Frome</t>
  </si>
  <si>
    <t>High</t>
  </si>
  <si>
    <t>No</t>
  </si>
  <si>
    <t>Not Applied</t>
  </si>
  <si>
    <t>Not Invited</t>
  </si>
  <si>
    <t>No Offer Yet</t>
  </si>
  <si>
    <t>Submit early; verify right-to-work requirements</t>
  </si>
  <si>
    <t>Sponsorship varies by entry path</t>
  </si>
  <si>
    <t>Strategy Analyst</t>
  </si>
  <si>
    <t>Submit application form and CV</t>
  </si>
  <si>
    <t>BlackRock</t>
  </si>
  <si>
    <t>Finance</t>
  </si>
  <si>
    <t>Full-Time Analyst 2027</t>
  </si>
  <si>
    <t>London / Edinburgh</t>
  </si>
  <si>
    <t>Prioritise quantitative / analytical tracks</t>
  </si>
  <si>
    <t>Actively sponsors qualified graduate analysts</t>
  </si>
  <si>
    <t>Capgemini</t>
  </si>
  <si>
    <t>Project Management &amp; Operations Analyst (2027)</t>
  </si>
  <si>
    <t>Telford / London / Manchester</t>
  </si>
  <si>
    <t>Medium</t>
  </si>
  <si>
    <t>Apply promptly before pool closes</t>
  </si>
  <si>
    <t>Rolling (Oct 2026). Core Tech/AI roles frequently eligible</t>
  </si>
  <si>
    <t>PwC</t>
  </si>
  <si>
    <t>Graduate Technology &amp; AI / Risk Assurance</t>
  </si>
  <si>
    <t>Birmingham / London / Manchester</t>
  </si>
  <si>
    <t>High priority for IT Audit / Tech Risk skills</t>
  </si>
  <si>
    <t>Rolling. Broad Skilled Worker sponsor for tech schemes</t>
  </si>
  <si>
    <t>Rolls-Royce</t>
  </si>
  <si>
    <t>Engineering</t>
  </si>
  <si>
    <t>Engineering &amp; Tech Graduate</t>
  </si>
  <si>
    <t>Derby / Bristol / Solihull</t>
  </si>
  <si>
    <t>Yes</t>
  </si>
  <si>
    <t>Submitted</t>
  </si>
  <si>
    <t>Monitor application portal for assessment updates</t>
  </si>
  <si>
    <t>£31k + £2k bonus. Strict salary threshold &amp; visa checks needed</t>
  </si>
  <si>
    <t>Mott MacDonald</t>
  </si>
  <si>
    <t>Graduate Management Consultancy Path (2027)</t>
  </si>
  <si>
    <t>Low</t>
  </si>
  <si>
    <t>Skip — no Skilled Worker sponsorship for 2027</t>
  </si>
  <si>
    <t>Explicitly not sponsoring Skilled Worker route for 2027</t>
  </si>
  <si>
    <t>PA Consulting</t>
  </si>
  <si>
    <t>Graduate Consulting, Digital &amp; Data</t>
  </si>
  <si>
    <t>London / Cambridge / Bristol</t>
  </si>
  <si>
    <t>Check careers portal for open dates</t>
  </si>
  <si>
    <t>Selective sponsorship for tech/analytics</t>
  </si>
  <si>
    <t>Kearney</t>
  </si>
  <si>
    <t>Business Analyst &amp; Digital Consulting</t>
  </si>
  <si>
    <t>London</t>
  </si>
  <si>
    <t>Sponsors competitive business analyst routes</t>
  </si>
  <si>
    <t>BDO</t>
  </si>
  <si>
    <t>Tech Risk, Advisory &amp; Data Analytics</t>
  </si>
  <si>
    <t>London &amp; Regional</t>
  </si>
  <si>
    <t>Check early careers portal</t>
  </si>
  <si>
    <t>Tech Risk &amp; Cyber often sponsor</t>
  </si>
  <si>
    <t>KPMG</t>
  </si>
  <si>
    <t>Tech Consulting, IT Audit &amp; Experienced Hire</t>
  </si>
  <si>
    <t>Explore internal transfer / experienced hire route</t>
  </si>
  <si>
    <t>Licensed sponsor; sponsors skilled tech/audit roles</t>
  </si>
  <si>
    <t>Deloitte</t>
  </si>
  <si>
    <t>Technology &amp; Data Analytics Graduate Scheme</t>
  </si>
  <si>
    <t>Check scheme opening dates</t>
  </si>
  <si>
    <t>Extensive UK sponsor licence</t>
  </si>
  <si>
    <t>McKinsey &amp; Co.</t>
  </si>
  <si>
    <t>Business Analyst, Digital &amp; Data Engineering</t>
  </si>
  <si>
    <t>Check application window</t>
  </si>
  <si>
    <t>Active sponsor across analyst tiers</t>
  </si>
  <si>
    <t>Brevan Howard</t>
  </si>
  <si>
    <t>Quant, Tech Assurance &amp; Analytics Roles</t>
  </si>
  <si>
    <t>Review tech assurance openings</t>
  </si>
  <si>
    <t>High-skill technical/quantitative roles</t>
  </si>
  <si>
    <t>Wellington Management</t>
  </si>
  <si>
    <t>Investment Research &amp; Tech Analyst</t>
  </si>
  <si>
    <t>Check careers portal</t>
  </si>
  <si>
    <t>Tier 2 / Skilled Worker licence held</t>
  </si>
  <si>
    <t>Antin Infrastructure</t>
  </si>
  <si>
    <t>Investment &amp; Portfolio Analytics</t>
  </si>
  <si>
    <t>Verify salary thresholds</t>
  </si>
  <si>
    <t>Specialist sponsor</t>
  </si>
  <si>
    <t>J.P. Morgan</t>
  </si>
  <si>
    <t>Tech Analyst Programme &amp; Risk Engineering</t>
  </si>
  <si>
    <t>London / Bournemouth / Glasgow</t>
  </si>
  <si>
    <t>Check programme dates</t>
  </si>
  <si>
    <t>Robust global mobility and visa sponsorship</t>
  </si>
  <si>
    <t>Standard Chartered</t>
  </si>
  <si>
    <t>Tech &amp; Data Analyst Schemes, Audit</t>
  </si>
  <si>
    <t>Frequent sponsor for international talent</t>
  </si>
  <si>
    <t>LSEG</t>
  </si>
  <si>
    <t>Data, Technology &amp; Risk Analyst Schemes</t>
  </si>
  <si>
    <t>Major sponsor for financial data/tech</t>
  </si>
  <si>
    <t>Jaguar Land Rover</t>
  </si>
  <si>
    <t>Digital, Software &amp; Engineering Graduates</t>
  </si>
  <si>
    <t>Gaydon / Coventry / Solihull</t>
  </si>
  <si>
    <t>Selected technical paths eligible</t>
  </si>
  <si>
    <t>Network Rail</t>
  </si>
  <si>
    <t>Analytics, IT Assurance &amp; Tech Schemes</t>
  </si>
  <si>
    <t>Nationwide</t>
  </si>
  <si>
    <t>Low priority</t>
  </si>
  <si>
    <t>Limited visa sponsorship for entry-level</t>
  </si>
  <si>
    <t>Shell</t>
  </si>
  <si>
    <t>Energy</t>
  </si>
  <si>
    <t>Data, Engineering &amp; Commercial Tech</t>
  </si>
  <si>
    <t>Licensed sponsor across STEM roles</t>
  </si>
  <si>
    <t>Chevron</t>
  </si>
  <si>
    <t>Digital Transformation &amp; Tech Analysts</t>
  </si>
  <si>
    <t>London &amp; Operations</t>
  </si>
  <si>
    <t>Check individual vacancy criteria</t>
  </si>
  <si>
    <t>Tesco</t>
  </si>
  <si>
    <t>Retail &amp; Tech</t>
  </si>
  <si>
    <t>Tech, Data &amp; Business Analytics</t>
  </si>
  <si>
    <t>Welwyn Garden City / London</t>
  </si>
  <si>
    <t>Sponsors skilled technology roles</t>
  </si>
  <si>
    <t>Morrisons</t>
  </si>
  <si>
    <t>Head Office Data Analytics &amp; IT</t>
  </si>
  <si>
    <t>Bradford &amp; HQ</t>
  </si>
  <si>
    <t>Rarely sponsors entry-level schemes</t>
  </si>
  <si>
    <t>Huawei UK</t>
  </si>
  <si>
    <t>Network, AI &amp; Software Engineering</t>
  </si>
  <si>
    <t>Reading / London</t>
  </si>
  <si>
    <t>Actively sponsors technical hires</t>
  </si>
  <si>
    <t>NHBC</t>
  </si>
  <si>
    <t>Operational Resilience &amp; IT Risk</t>
  </si>
  <si>
    <t>Milton Keynes</t>
  </si>
  <si>
    <t>Check salary compliance</t>
  </si>
  <si>
    <t>Requires Skilled Worker salary compliance</t>
  </si>
  <si>
    <t>NHS (Digital/X)</t>
  </si>
  <si>
    <t>Public Sector</t>
  </si>
  <si>
    <t>Health Data Science, IT Audit &amp; Tech</t>
  </si>
  <si>
    <t>Check NHS Jobs for Band/salary fit</t>
  </si>
  <si>
    <t>Sponsors if role meets Band/Salary criteria</t>
  </si>
  <si>
    <t>NLNG</t>
  </si>
  <si>
    <t>Graduate &amp; Mid-Level Engineering/IT</t>
  </si>
  <si>
    <t>Nigeria</t>
  </si>
  <si>
    <t>Domestic Nigerian hiring</t>
  </si>
  <si>
    <t>Not a UK visa route</t>
  </si>
  <si>
    <t>Renaissance</t>
  </si>
  <si>
    <t>Specific entity ID required</t>
  </si>
  <si>
    <t>Various UK</t>
  </si>
  <si>
    <t>Confirm exact business entity name</t>
  </si>
  <si>
    <t>Dropdown source lists — edit the values below to change the dropdown options in the Tracker.</t>
  </si>
  <si>
    <t>Yes/No</t>
  </si>
  <si>
    <t>Stage Status</t>
  </si>
  <si>
    <t>In Progress</t>
  </si>
  <si>
    <t>Invited</t>
  </si>
  <si>
    <t>Offer Received</t>
  </si>
  <si>
    <t>Scheduled</t>
  </si>
  <si>
    <t>Accepted</t>
  </si>
  <si>
    <t>Under Review</t>
  </si>
  <si>
    <t>Completed</t>
  </si>
  <si>
    <t>Declined</t>
  </si>
  <si>
    <t>Rejected</t>
  </si>
  <si>
    <t>Passed</t>
  </si>
  <si>
    <t>Withdrawn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</si>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</sst>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dd\ mmm\ yyyy"/>
    <numFmt numFmtId="177" formatCode="0\d"/>
    <numFmt numFmtId="178" formatCode="dd\ mmm"/>
  </numFmts>
  <fonts count="46">
    <font>
      <sz val="11"/>
      <color theme="1"/>
      <name val="Calibri"/>
      <charset val="1"/>
    </font>
    <font>
      <i/>
      <sz val="9"/>
      <color rgb="FF475569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20"/>
      <color rgb="FFFFFFFF"/>
      <name val="Arial"/>
      <charset val="1"/>
    </font>
    <font>
      <sz val="10"/>
      <color rgb="FF8FE3D8"/>
      <name val="Arial"/>
      <charset val="1"/>
    </font>
    <font>
      <b/>
      <sz val="9"/>
      <color rgb="FFFFFFFF"/>
      <name val="Arial"/>
      <charset val="1"/>
    </font>
    <font>
      <sz val="9"/>
      <color rgb="FF94A3B8"/>
      <name val="Arial"/>
      <charset val="1"/>
    </font>
    <font>
      <b/>
      <sz val="10"/>
      <color rgb="FF0B1F3A"/>
      <name val="Arial"/>
      <charset val="1"/>
    </font>
    <font>
      <sz val="10"/>
      <color rgb="FF1E293B"/>
      <name val="Arial"/>
      <charset val="1"/>
    </font>
    <font>
      <sz val="8"/>
      <color rgb="FFFFFFFF"/>
      <name val="Arial"/>
      <charset val="1"/>
    </font>
    <font>
      <b/>
      <sz val="22"/>
      <color rgb="FFFFFFFF"/>
      <name val="Arial"/>
      <charset val="1"/>
    </font>
    <font>
      <b/>
      <sz val="9"/>
      <color rgb="FF475569"/>
      <name val="Arial"/>
      <charset val="1"/>
    </font>
    <font>
      <b/>
      <sz val="26"/>
      <color rgb="FF0B1F3A"/>
      <name val="Arial"/>
      <charset val="1"/>
    </font>
    <font>
      <b/>
      <sz val="26"/>
      <color rgb="FF1D4E89"/>
      <name val="Arial"/>
      <charset val="1"/>
    </font>
    <font>
      <b/>
      <sz val="26"/>
      <color rgb="FFB45309"/>
      <name val="Arial"/>
      <charset val="1"/>
    </font>
    <font>
      <b/>
      <sz val="26"/>
      <color rgb="FFB91C1C"/>
      <name val="Arial"/>
      <charset val="1"/>
    </font>
    <font>
      <sz val="8"/>
      <color rgb="FF64748B"/>
      <name val="Arial"/>
      <charset val="1"/>
    </font>
    <font>
      <b/>
      <sz val="26"/>
      <color rgb="FF0F766E"/>
      <name val="Arial"/>
      <charset val="1"/>
    </font>
    <font>
      <b/>
      <sz val="26"/>
      <color rgb="FF0E7490"/>
      <name val="Arial"/>
      <charset val="1"/>
    </font>
    <font>
      <b/>
      <sz val="26"/>
      <color rgb="FF7C3AED"/>
      <name val="Arial"/>
      <charset val="1"/>
    </font>
    <font>
      <b/>
      <sz val="26"/>
      <color rgb="FF15803D"/>
      <name val="Arial"/>
      <charset val="1"/>
    </font>
    <font>
      <b/>
      <sz val="10"/>
      <name val="Arial"/>
      <charset val="1"/>
    </font>
    <font>
      <sz val="9"/>
      <color rgb="FF334155"/>
      <name val="Arial"/>
      <charset val="1"/>
    </font>
    <font>
      <i/>
      <sz val="8"/>
      <color rgb="FF64748B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0B1F3A"/>
        <bgColor rgb="FF1E293B"/>
      </patternFill>
    </fill>
    <fill>
      <patternFill patternType="solid">
        <fgColor rgb="FF1D4E89"/>
        <bgColor rgb="FF075985"/>
      </patternFill>
    </fill>
    <fill>
      <patternFill patternType="solid">
        <fgColor rgb="FF0F766E"/>
        <bgColor rgb="FF0E7490"/>
      </patternFill>
    </fill>
    <fill>
      <patternFill patternType="solid">
        <fgColor rgb="FF0E7490"/>
        <bgColor rgb="FF0F766E"/>
      </patternFill>
    </fill>
    <fill>
      <patternFill patternType="solid">
        <fgColor rgb="FF7C3AED"/>
        <bgColor rgb="FF5B21B6"/>
      </patternFill>
    </fill>
    <fill>
      <patternFill patternType="solid">
        <fgColor rgb="FF15803D"/>
        <bgColor rgb="FF0F766E"/>
      </patternFill>
    </fill>
    <fill>
      <patternFill patternType="solid">
        <fgColor rgb="FF475569"/>
        <bgColor rgb="FF334155"/>
      </patternFill>
    </fill>
    <fill>
      <patternFill patternType="solid">
        <fgColor rgb="FFFFFFFF"/>
        <bgColor rgb="FFF9F9F9"/>
      </patternFill>
    </fill>
    <fill>
      <patternFill patternType="solid">
        <fgColor rgb="FFE3F5F2"/>
        <bgColor rgb="FFE0F2FE"/>
      </patternFill>
    </fill>
    <fill>
      <patternFill patternType="solid">
        <fgColor rgb="FFF4F7FA"/>
        <bgColor rgb="FFF1F5F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6">
    <border>
      <left/>
      <right/>
      <top/>
      <bottom/>
      <diagonal/>
    </border>
    <border>
      <left style="thin">
        <color rgb="FFD5DCE4"/>
      </left>
      <right style="thin">
        <color rgb="FFD5DCE4"/>
      </right>
      <top style="thin">
        <color rgb="FFD5DCE4"/>
      </top>
      <bottom style="thin">
        <color rgb="FFD5DCE4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 style="medium">
        <color rgb="FF0F9D8F"/>
      </bottom>
      <diagonal/>
    </border>
    <border>
      <left style="thick">
        <color rgb="FF0B1F3A"/>
      </left>
      <right style="thin">
        <color rgb="FFD5DCE4"/>
      </right>
      <top style="thin">
        <color rgb="FFD5DCE4"/>
      </top>
      <bottom/>
      <diagonal/>
    </border>
    <border>
      <left style="thick">
        <color rgb="FF1D4E89"/>
      </left>
      <right style="thin">
        <color rgb="FFD5DCE4"/>
      </right>
      <top style="thin">
        <color rgb="FFD5DCE4"/>
      </top>
      <bottom/>
      <diagonal/>
    </border>
    <border>
      <left style="thick">
        <color rgb="FFB45309"/>
      </left>
      <right style="thin">
        <color rgb="FFD5DCE4"/>
      </right>
      <top style="thin">
        <color rgb="FFD5DCE4"/>
      </top>
      <bottom/>
      <diagonal/>
    </border>
    <border>
      <left style="thick">
        <color rgb="FFB91C1C"/>
      </left>
      <right style="thin">
        <color rgb="FFD5DCE4"/>
      </right>
      <top style="thin">
        <color rgb="FFD5DCE4"/>
      </top>
      <bottom/>
      <diagonal/>
    </border>
    <border>
      <left style="thick">
        <color rgb="FF0B1F3A"/>
      </left>
      <right style="thin">
        <color rgb="FFD5DCE4"/>
      </right>
      <top/>
      <bottom/>
      <diagonal/>
    </border>
    <border>
      <left style="thick">
        <color rgb="FF1D4E89"/>
      </left>
      <right style="thin">
        <color rgb="FFD5DCE4"/>
      </right>
      <top/>
      <bottom/>
      <diagonal/>
    </border>
    <border>
      <left style="thick">
        <color rgb="FFB45309"/>
      </left>
      <right style="thin">
        <color rgb="FFD5DCE4"/>
      </right>
      <top/>
      <bottom/>
      <diagonal/>
    </border>
    <border>
      <left style="thick">
        <color rgb="FFB91C1C"/>
      </left>
      <right style="thin">
        <color rgb="FFD5DCE4"/>
      </right>
      <top/>
      <bottom/>
      <diagonal/>
    </border>
    <border>
      <left style="thick">
        <color rgb="FF0B1F3A"/>
      </left>
      <right style="thin">
        <color rgb="FFD5DCE4"/>
      </right>
      <top/>
      <bottom style="thin">
        <color rgb="FFD5DCE4"/>
      </bottom>
      <diagonal/>
    </border>
    <border>
      <left style="thick">
        <color rgb="FF1D4E89"/>
      </left>
      <right style="thin">
        <color rgb="FFD5DCE4"/>
      </right>
      <top/>
      <bottom style="thin">
        <color rgb="FFD5DCE4"/>
      </bottom>
      <diagonal/>
    </border>
    <border>
      <left style="thick">
        <color rgb="FFB45309"/>
      </left>
      <right style="thin">
        <color rgb="FFD5DCE4"/>
      </right>
      <top/>
      <bottom style="thin">
        <color rgb="FFD5DCE4"/>
      </bottom>
      <diagonal/>
    </border>
    <border>
      <left style="thick">
        <color rgb="FFB91C1C"/>
      </left>
      <right style="thin">
        <color rgb="FFD5DCE4"/>
      </right>
      <top/>
      <bottom style="thin">
        <color rgb="FFD5DCE4"/>
      </bottom>
      <diagonal/>
    </border>
    <border>
      <left style="thick">
        <color rgb="FF0F766E"/>
      </left>
      <right style="thin">
        <color rgb="FFD5DCE4"/>
      </right>
      <top style="thin">
        <color rgb="FFD5DCE4"/>
      </top>
      <bottom/>
      <diagonal/>
    </border>
    <border>
      <left style="thick">
        <color rgb="FF0E7490"/>
      </left>
      <right style="thin">
        <color rgb="FFD5DCE4"/>
      </right>
      <top style="thin">
        <color rgb="FFD5DCE4"/>
      </top>
      <bottom/>
      <diagonal/>
    </border>
    <border>
      <left style="thick">
        <color rgb="FF7C3AED"/>
      </left>
      <right style="thin">
        <color rgb="FFD5DCE4"/>
      </right>
      <top style="thin">
        <color rgb="FFD5DCE4"/>
      </top>
      <bottom/>
      <diagonal/>
    </border>
    <border>
      <left style="thick">
        <color rgb="FF15803D"/>
      </left>
      <right style="thin">
        <color rgb="FFD5DCE4"/>
      </right>
      <top style="thin">
        <color rgb="FFD5DCE4"/>
      </top>
      <bottom/>
      <diagonal/>
    </border>
    <border>
      <left style="thick">
        <color rgb="FF0F766E"/>
      </left>
      <right style="thin">
        <color rgb="FFD5DCE4"/>
      </right>
      <top/>
      <bottom/>
      <diagonal/>
    </border>
    <border>
      <left style="thick">
        <color rgb="FF0E7490"/>
      </left>
      <right style="thin">
        <color rgb="FFD5DCE4"/>
      </right>
      <top/>
      <bottom/>
      <diagonal/>
    </border>
    <border>
      <left style="thick">
        <color rgb="FF7C3AED"/>
      </left>
      <right style="thin">
        <color rgb="FFD5DCE4"/>
      </right>
      <top/>
      <bottom/>
      <diagonal/>
    </border>
    <border>
      <left style="thick">
        <color rgb="FF15803D"/>
      </left>
      <right style="thin">
        <color rgb="FFD5DCE4"/>
      </right>
      <top/>
      <bottom/>
      <diagonal/>
    </border>
    <border>
      <left style="thick">
        <color rgb="FF0F766E"/>
      </left>
      <right style="thin">
        <color rgb="FFD5DCE4"/>
      </right>
      <top/>
      <bottom style="thin">
        <color rgb="FFD5DCE4"/>
      </bottom>
      <diagonal/>
    </border>
    <border>
      <left style="thick">
        <color rgb="FF0E7490"/>
      </left>
      <right style="thin">
        <color rgb="FFD5DCE4"/>
      </right>
      <top/>
      <bottom style="thin">
        <color rgb="FFD5DCE4"/>
      </bottom>
      <diagonal/>
    </border>
    <border>
      <left style="thick">
        <color rgb="FF7C3AED"/>
      </left>
      <right style="thin">
        <color rgb="FFD5DCE4"/>
      </right>
      <top/>
      <bottom style="thin">
        <color rgb="FFD5DCE4"/>
      </bottom>
      <diagonal/>
    </border>
    <border>
      <left style="thick">
        <color rgb="FF15803D"/>
      </left>
      <right style="thin">
        <color rgb="FFD5DCE4"/>
      </right>
      <top/>
      <bottom style="thin">
        <color rgb="FFD5DCE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5" fillId="0" borderId="0" applyBorder="0" applyAlignment="0" applyProtection="0"/>
    <xf numFmtId="44" fontId="25" fillId="0" borderId="0" applyBorder="0" applyAlignment="0" applyProtection="0"/>
    <xf numFmtId="9" fontId="25" fillId="0" borderId="0" applyBorder="0" applyAlignment="0" applyProtection="0"/>
    <xf numFmtId="41" fontId="25" fillId="0" borderId="0" applyBorder="0" applyAlignment="0" applyProtection="0"/>
    <xf numFmtId="42" fontId="25" fillId="0" borderId="0" applyBorder="0" applyAlignment="0" applyProtection="0"/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12" borderId="28" applyNumberFormat="0" applyFon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29" applyNumberFormat="0" applyFill="0" applyAlignment="0" applyProtection="0">
      <alignment vertical="center"/>
    </xf>
    <xf numFmtId="0" fontId="33" fillId="0" borderId="29" applyNumberFormat="0" applyFill="0" applyAlignment="0" applyProtection="0">
      <alignment vertical="center"/>
    </xf>
    <xf numFmtId="0" fontId="34" fillId="0" borderId="30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13" borderId="31" applyNumberFormat="0" applyAlignment="0" applyProtection="0">
      <alignment vertical="center"/>
    </xf>
    <xf numFmtId="0" fontId="36" fillId="14" borderId="32" applyNumberFormat="0" applyAlignment="0" applyProtection="0">
      <alignment vertical="center"/>
    </xf>
    <xf numFmtId="0" fontId="37" fillId="14" borderId="31" applyNumberFormat="0" applyAlignment="0" applyProtection="0">
      <alignment vertical="center"/>
    </xf>
    <xf numFmtId="0" fontId="38" fillId="15" borderId="33" applyNumberFormat="0" applyAlignment="0" applyProtection="0">
      <alignment vertical="center"/>
    </xf>
    <xf numFmtId="0" fontId="39" fillId="0" borderId="34" applyNumberFormat="0" applyFill="0" applyAlignment="0" applyProtection="0">
      <alignment vertical="center"/>
    </xf>
    <xf numFmtId="0" fontId="40" fillId="0" borderId="35" applyNumberFormat="0" applyFill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3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7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0" fontId="45" fillId="40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</cellStyleXfs>
  <cellXfs count="6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0" borderId="1" xfId="0" applyFont="1" applyBorder="1"/>
    <xf numFmtId="0" fontId="0" fillId="2" borderId="0" xfId="0" applyFill="1"/>
    <xf numFmtId="0" fontId="4" fillId="2" borderId="0" xfId="0" applyFont="1" applyFill="1"/>
    <xf numFmtId="0" fontId="5" fillId="2" borderId="0" xfId="0" applyFont="1" applyFill="1"/>
    <xf numFmtId="0" fontId="6" fillId="2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/>
    </xf>
    <xf numFmtId="176" fontId="9" fillId="0" borderId="1" xfId="0" applyNumberFormat="1" applyFont="1" applyBorder="1" applyAlignment="1">
      <alignment horizontal="center" vertical="center"/>
    </xf>
    <xf numFmtId="177" fontId="9" fillId="0" borderId="1" xfId="0" applyNumberFormat="1" applyFont="1" applyBorder="1" applyAlignment="1">
      <alignment horizontal="center" vertical="center"/>
    </xf>
    <xf numFmtId="0" fontId="10" fillId="0" borderId="0" xfId="0" applyFont="1"/>
    <xf numFmtId="0" fontId="11" fillId="2" borderId="0" xfId="0" applyFont="1" applyFill="1"/>
    <xf numFmtId="176" fontId="10" fillId="0" borderId="0" xfId="0" applyNumberFormat="1" applyFont="1"/>
    <xf numFmtId="0" fontId="12" fillId="9" borderId="4" xfId="0" applyFont="1" applyFill="1" applyBorder="1" applyAlignment="1">
      <alignment horizontal="left" vertical="center" indent="1"/>
    </xf>
    <xf numFmtId="0" fontId="12" fillId="9" borderId="5" xfId="0" applyFont="1" applyFill="1" applyBorder="1" applyAlignment="1">
      <alignment horizontal="left" vertical="center" indent="1"/>
    </xf>
    <xf numFmtId="0" fontId="12" fillId="9" borderId="6" xfId="0" applyFont="1" applyFill="1" applyBorder="1" applyAlignment="1">
      <alignment horizontal="left" vertical="center" indent="1"/>
    </xf>
    <xf numFmtId="0" fontId="12" fillId="9" borderId="7" xfId="0" applyFont="1" applyFill="1" applyBorder="1" applyAlignment="1">
      <alignment horizontal="left" vertical="center" indent="1"/>
    </xf>
    <xf numFmtId="1" fontId="13" fillId="9" borderId="8" xfId="0" applyNumberFormat="1" applyFont="1" applyFill="1" applyBorder="1" applyAlignment="1">
      <alignment horizontal="left" vertical="center" indent="1"/>
    </xf>
    <xf numFmtId="1" fontId="14" fillId="9" borderId="9" xfId="0" applyNumberFormat="1" applyFont="1" applyFill="1" applyBorder="1" applyAlignment="1">
      <alignment horizontal="left" vertical="center" indent="1"/>
    </xf>
    <xf numFmtId="1" fontId="15" fillId="9" borderId="10" xfId="0" applyNumberFormat="1" applyFont="1" applyFill="1" applyBorder="1" applyAlignment="1">
      <alignment horizontal="left" vertical="center" indent="1"/>
    </xf>
    <xf numFmtId="178" fontId="16" fillId="9" borderId="11" xfId="0" applyNumberFormat="1" applyFont="1" applyFill="1" applyBorder="1" applyAlignment="1">
      <alignment horizontal="left" vertical="center" indent="1"/>
    </xf>
    <xf numFmtId="0" fontId="17" fillId="9" borderId="12" xfId="0" applyFont="1" applyFill="1" applyBorder="1" applyAlignment="1">
      <alignment horizontal="left" vertical="center" indent="1"/>
    </xf>
    <xf numFmtId="0" fontId="17" fillId="9" borderId="13" xfId="0" applyFont="1" applyFill="1" applyBorder="1" applyAlignment="1">
      <alignment horizontal="left" vertical="center" indent="1"/>
    </xf>
    <xf numFmtId="0" fontId="17" fillId="9" borderId="14" xfId="0" applyFont="1" applyFill="1" applyBorder="1" applyAlignment="1">
      <alignment horizontal="left" vertical="center" indent="1"/>
    </xf>
    <xf numFmtId="0" fontId="17" fillId="9" borderId="15" xfId="0" applyFont="1" applyFill="1" applyBorder="1" applyAlignment="1">
      <alignment horizontal="left" vertical="center" indent="1"/>
    </xf>
    <xf numFmtId="0" fontId="12" fillId="9" borderId="16" xfId="0" applyFont="1" applyFill="1" applyBorder="1" applyAlignment="1">
      <alignment horizontal="left" vertical="center" indent="1"/>
    </xf>
    <xf numFmtId="0" fontId="12" fillId="9" borderId="17" xfId="0" applyFont="1" applyFill="1" applyBorder="1" applyAlignment="1">
      <alignment horizontal="left" vertical="center" indent="1"/>
    </xf>
    <xf numFmtId="0" fontId="12" fillId="9" borderId="18" xfId="0" applyFont="1" applyFill="1" applyBorder="1" applyAlignment="1">
      <alignment horizontal="left" vertical="center" indent="1"/>
    </xf>
    <xf numFmtId="0" fontId="12" fillId="9" borderId="19" xfId="0" applyFont="1" applyFill="1" applyBorder="1" applyAlignment="1">
      <alignment horizontal="left" vertical="center" indent="1"/>
    </xf>
    <xf numFmtId="1" fontId="18" fillId="9" borderId="20" xfId="0" applyNumberFormat="1" applyFont="1" applyFill="1" applyBorder="1" applyAlignment="1">
      <alignment horizontal="left" vertical="center" indent="1"/>
    </xf>
    <xf numFmtId="1" fontId="19" fillId="9" borderId="21" xfId="0" applyNumberFormat="1" applyFont="1" applyFill="1" applyBorder="1" applyAlignment="1">
      <alignment horizontal="left" vertical="center" indent="1"/>
    </xf>
    <xf numFmtId="1" fontId="20" fillId="9" borderId="22" xfId="0" applyNumberFormat="1" applyFont="1" applyFill="1" applyBorder="1" applyAlignment="1">
      <alignment horizontal="left" vertical="center" indent="1"/>
    </xf>
    <xf numFmtId="1" fontId="21" fillId="9" borderId="23" xfId="0" applyNumberFormat="1" applyFont="1" applyFill="1" applyBorder="1" applyAlignment="1">
      <alignment horizontal="left" vertical="center" indent="1"/>
    </xf>
    <xf numFmtId="0" fontId="17" fillId="9" borderId="24" xfId="0" applyFont="1" applyFill="1" applyBorder="1" applyAlignment="1">
      <alignment horizontal="left" vertical="center" indent="1"/>
    </xf>
    <xf numFmtId="0" fontId="17" fillId="9" borderId="25" xfId="0" applyFont="1" applyFill="1" applyBorder="1" applyAlignment="1">
      <alignment horizontal="left" vertical="center" indent="1"/>
    </xf>
    <xf numFmtId="0" fontId="17" fillId="9" borderId="26" xfId="0" applyFont="1" applyFill="1" applyBorder="1" applyAlignment="1">
      <alignment horizontal="left" vertical="center" indent="1"/>
    </xf>
    <xf numFmtId="0" fontId="17" fillId="9" borderId="27" xfId="0" applyFont="1" applyFill="1" applyBorder="1" applyAlignment="1">
      <alignment horizontal="left" vertical="center" indent="1"/>
    </xf>
    <xf numFmtId="0" fontId="2" fillId="2" borderId="0" xfId="0" applyFont="1" applyFill="1" applyAlignment="1">
      <alignment vertical="center" indent="1"/>
    </xf>
    <xf numFmtId="0" fontId="12" fillId="10" borderId="1" xfId="0" applyFont="1" applyFill="1" applyBorder="1" applyAlignment="1">
      <alignment horizontal="left"/>
    </xf>
    <xf numFmtId="0" fontId="12" fillId="10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left" indent="1"/>
    </xf>
    <xf numFmtId="0" fontId="22" fillId="0" borderId="1" xfId="0" applyFont="1" applyBorder="1" applyAlignment="1">
      <alignment horizontal="center"/>
    </xf>
    <xf numFmtId="9" fontId="3" fillId="0" borderId="1" xfId="0" applyNumberFormat="1" applyFont="1" applyBorder="1" applyAlignment="1">
      <alignment horizontal="center"/>
    </xf>
    <xf numFmtId="0" fontId="23" fillId="11" borderId="0" xfId="0" applyFont="1" applyFill="1" applyBorder="1" applyAlignment="1">
      <alignment vertical="center" wrapText="1" indent="1"/>
    </xf>
    <xf numFmtId="0" fontId="3" fillId="0" borderId="1" xfId="0" applyFont="1" applyBorder="1" applyAlignment="1">
      <alignment horizontal="center"/>
    </xf>
    <xf numFmtId="0" fontId="24" fillId="0" borderId="0" xfId="0" applyFont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6">
    <dxf>
      <font>
        <name val="Arial"/>
        <scheme val="none"/>
        <charset val="1"/>
        <family val="0"/>
        <b val="1"/>
        <color rgb="FF065F46"/>
      </font>
      <fill>
        <patternFill patternType="solid">
          <bgColor rgb="FFD1FAE5"/>
        </patternFill>
      </fill>
    </dxf>
    <dxf>
      <font>
        <name val="Arial"/>
        <scheme val="none"/>
        <charset val="1"/>
        <family val="0"/>
        <b val="1"/>
        <color rgb="FF075985"/>
      </font>
      <fill>
        <patternFill patternType="solid">
          <bgColor rgb="FFE0F2FE"/>
        </patternFill>
      </fill>
    </dxf>
    <dxf>
      <font>
        <name val="Arial"/>
        <scheme val="none"/>
        <charset val="1"/>
        <family val="0"/>
        <b val="1"/>
        <color rgb="FF92400E"/>
      </font>
      <fill>
        <patternFill patternType="solid">
          <bgColor rgb="FFFEF3C7"/>
        </patternFill>
      </fill>
    </dxf>
    <dxf>
      <font>
        <name val="Arial"/>
        <scheme val="none"/>
        <charset val="1"/>
        <family val="0"/>
        <b val="1"/>
        <color rgb="FF9A3412"/>
      </font>
      <fill>
        <patternFill patternType="solid">
          <bgColor rgb="FFFFEDD5"/>
        </patternFill>
      </fill>
    </dxf>
    <dxf>
      <font>
        <name val="Arial"/>
        <scheme val="none"/>
        <charset val="1"/>
        <family val="0"/>
        <b val="1"/>
        <color rgb="FF991B1B"/>
      </font>
      <fill>
        <patternFill patternType="solid">
          <bgColor rgb="FFFEE2E2"/>
        </patternFill>
      </fill>
    </dxf>
    <dxf>
      <font>
        <name val="Arial"/>
        <scheme val="none"/>
        <charset val="1"/>
        <family val="0"/>
        <b val="1"/>
        <color rgb="FF7F1D1D"/>
      </font>
      <fill>
        <patternFill patternType="solid">
          <bgColor rgb="FFFECACA"/>
        </patternFill>
      </fill>
    </dxf>
    <dxf>
      <font>
        <name val="Arial"/>
        <scheme val="none"/>
        <charset val="1"/>
        <family val="0"/>
        <b val="1"/>
        <color rgb="FF475569"/>
      </font>
      <fill>
        <patternFill patternType="solid">
          <bgColor rgb="FFE2E8F0"/>
        </patternFill>
      </fill>
    </dxf>
    <dxf>
      <font>
        <name val="Arial"/>
        <scheme val="none"/>
        <charset val="1"/>
        <family val="0"/>
        <color rgb="FF64748B"/>
      </font>
      <fill>
        <patternFill patternType="solid">
          <bgColor rgb="FFE2E8F0"/>
        </patternFill>
      </fill>
    </dxf>
    <dxf>
      <font>
        <name val="Arial"/>
        <scheme val="none"/>
        <charset val="1"/>
        <family val="0"/>
        <b val="1"/>
        <color rgb="FF991B1B"/>
      </font>
      <fill>
        <patternFill patternType="solid">
          <bgColor rgb="FFFECACA"/>
        </patternFill>
      </fill>
    </dxf>
    <dxf>
      <font>
        <name val="Arial"/>
        <scheme val="none"/>
        <charset val="1"/>
        <family val="0"/>
        <color rgb="FF065F46"/>
      </font>
      <fill>
        <patternFill patternType="solid">
          <bgColor rgb="FFD1FAE5"/>
        </patternFill>
      </fill>
    </dxf>
    <dxf>
      <font>
        <name val="Arial"/>
        <scheme val="none"/>
        <charset val="1"/>
        <family val="0"/>
        <b val="1"/>
        <color rgb="FF166534"/>
      </font>
      <fill>
        <patternFill patternType="solid">
          <bgColor rgb="FFBBF7D0"/>
        </patternFill>
      </fill>
    </dxf>
    <dxf>
      <font>
        <name val="Arial"/>
        <scheme val="none"/>
        <charset val="1"/>
        <family val="0"/>
        <color rgb="FF64748B"/>
      </font>
      <fill>
        <patternFill patternType="solid">
          <bgColor rgb="FFF1F5F9"/>
        </patternFill>
      </fill>
    </dxf>
    <dxf>
      <font>
        <name val="Arial"/>
        <scheme val="none"/>
        <charset val="1"/>
        <family val="0"/>
        <b val="1"/>
        <color rgb="FF1E40AF"/>
      </font>
      <fill>
        <patternFill patternType="solid">
          <bgColor rgb="FFBFDBFE"/>
        </patternFill>
      </fill>
    </dxf>
    <dxf>
      <font>
        <name val="Arial"/>
        <scheme val="none"/>
        <charset val="1"/>
        <family val="0"/>
        <b val="1"/>
        <color rgb="FF5B21B6"/>
      </font>
      <fill>
        <patternFill patternType="solid">
          <bgColor rgb="FFDDD6FE"/>
        </patternFill>
      </fill>
    </dxf>
    <dxf>
      <font>
        <name val="Arial"/>
        <scheme val="none"/>
        <charset val="1"/>
        <family val="0"/>
        <b val="1"/>
        <color rgb="FF14532D"/>
      </font>
      <fill>
        <patternFill patternType="solid">
          <bgColor rgb="FF86EFAC"/>
        </patternFill>
      </fill>
    </dxf>
    <dxf>
      <font>
        <name val="Arial"/>
        <scheme val="none"/>
        <charset val="1"/>
        <family val="0"/>
        <b val="1"/>
        <color rgb="FF64748B"/>
      </font>
      <fill>
        <patternFill patternType="solid">
          <bgColor rgb="FFF1F5F9"/>
        </patternFill>
      </fill>
    </dxf>
    <dxf>
      <font>
        <name val="Arial"/>
        <scheme val="none"/>
        <charset val="1"/>
        <family val="0"/>
        <color rgb="FF94A3B8"/>
      </font>
      <fill>
        <patternFill patternType="solid">
          <bgColor rgb="FFF1F5F9"/>
        </patternFill>
      </fill>
    </dxf>
    <dxf>
      <font>
        <name val="Arial"/>
        <scheme val="none"/>
        <charset val="1"/>
        <family val="0"/>
        <b val="1"/>
        <color rgb="FFFFFFFF"/>
      </font>
      <fill>
        <patternFill patternType="solid">
          <bgColor rgb="FF22C55E"/>
        </patternFill>
      </fill>
    </dxf>
    <dxf>
      <fill>
        <patternFill patternType="solid">
          <bgColor rgb="FFF4F7FA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5"/>
      <tableStyleElement type="headerRow" dxfId="24"/>
      <tableStyleElement type="totalRow" dxfId="23"/>
      <tableStyleElement type="firstColumn" dxfId="22"/>
      <tableStyleElement type="lastColumn" dxfId="21"/>
      <tableStyleElement type="firstRowStripe" dxfId="20"/>
      <tableStyleElement type="firstColumnStripe" dxfId="19"/>
    </tableStyle>
    <tableStyle name="PivotStylePreset2_Accent1" table="0" count="10" xr9:uid="{267968C8-6FFD-4C36-ACC1-9EA1FD1885CA}">
      <tableStyleElement type="headerRow" dxfId="35"/>
      <tableStyleElement type="totalRow" dxfId="34"/>
      <tableStyleElement type="firstRowStripe" dxfId="33"/>
      <tableStyleElement type="firstColumnStripe" dxfId="32"/>
      <tableStyleElement type="firstSubtotalRow" dxfId="31"/>
      <tableStyleElement type="secondSubtotalRow" dxfId="30"/>
      <tableStyleElement type="firstRowSubheading" dxfId="29"/>
      <tableStyleElement type="secondRowSubheading" dxfId="28"/>
      <tableStyleElement type="pageFieldLabels" dxfId="27"/>
      <tableStyleElement type="pageFieldValues" dxfId="2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7F1D1D"/>
      <rgbColor rgb="0015803D"/>
      <rgbColor rgb="00065F46"/>
      <rgbColor rgb="00475569"/>
      <rgbColor rgb="005B21B6"/>
      <rgbColor rgb="000F766E"/>
      <rgbColor rgb="00D9D9D9"/>
      <rgbColor rgb="00878787"/>
      <rgbColor rgb="00D5DCE4"/>
      <rgbColor rgb="0092400E"/>
      <rgbColor rgb="00FEF3C7"/>
      <rgbColor rgb="00E0F2FE"/>
      <rgbColor rgb="00660066"/>
      <rgbColor rgb="00F1F5F9"/>
      <rgbColor rgb="00075985"/>
      <rgbColor rgb="00DDD6FE"/>
      <rgbColor rgb="00166534"/>
      <rgbColor rgb="00FF00FF"/>
      <rgbColor rgb="00F9F9F9"/>
      <rgbColor rgb="0000FFFF"/>
      <rgbColor rgb="007C3AED"/>
      <rgbColor rgb="00991B1B"/>
      <rgbColor rgb="000E7490"/>
      <rgbColor rgb="000000FF"/>
      <rgbColor rgb="0000CCFF"/>
      <rgbColor rgb="00E3F5F2"/>
      <rgbColor rgb="00D1FAE5"/>
      <rgbColor rgb="00FFEDD5"/>
      <rgbColor rgb="008FE3D8"/>
      <rgbColor rgb="00FEE2E2"/>
      <rgbColor rgb="00BFDBFE"/>
      <rgbColor rgb="00FECACA"/>
      <rgbColor rgb="001D4E89"/>
      <rgbColor rgb="0022C55E"/>
      <rgbColor rgb="0086EFAC"/>
      <rgbColor rgb="00E2E8F0"/>
      <rgbColor rgb="00F4F7FA"/>
      <rgbColor rgb="00B45309"/>
      <rgbColor rgb="0064748B"/>
      <rgbColor rgb="0094A3B8"/>
      <rgbColor rgb="000B1F3A"/>
      <rgbColor rgb="000F9D8F"/>
      <rgbColor rgb="0014532D"/>
      <rgbColor rgb="00334155"/>
      <rgbColor rgb="009A3412"/>
      <rgbColor rgb="00B91C1C"/>
      <rgbColor rgb="001E40AF"/>
      <rgbColor rgb="001E293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Pipeline Progress</a:t>
            </a:r>
            <a:endParaRPr sz="1800" b="1" strike="noStrike" spc="-1">
              <a:solidFill>
                <a:srgbClr val="000000"/>
              </a:solidFill>
              <a:latin typeface="Calibri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Dashboard!$E$14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0F9D8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70402020202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Dashboard!$B$15:$B$19</c:f>
              <c:strCache>
                <c:ptCount val="5"/>
                <c:pt idx="0">
                  <c:v>Applied</c:v>
                </c:pt>
                <c:pt idx="1">
                  <c:v>Online Assessment</c:v>
                </c:pt>
                <c:pt idx="2">
                  <c:v>Interview</c:v>
                </c:pt>
                <c:pt idx="3">
                  <c:v>Assessment Centre</c:v>
                </c:pt>
                <c:pt idx="4">
                  <c:v>Offer</c:v>
                </c:pt>
              </c:strCache>
            </c:strRef>
          </c:cat>
          <c:val>
            <c:numRef>
              <c:f>Dashboard!$E$15:$E$19</c:f>
              <c:numCache>
                <c:formatCode>General</c:formatCode>
                <c:ptCount val="5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150"/>
        <c:overlap val="0"/>
        <c:axId val="10483305"/>
        <c:axId val="83255274"/>
      </c:barChart>
      <c:catAx>
        <c:axId val="1048330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</a:p>
        </c:txPr>
        <c:crossAx val="83255274"/>
        <c:crosses val="autoZero"/>
        <c:auto val="1"/>
        <c:lblAlgn val="ctr"/>
        <c:lblOffset val="100"/>
        <c:noMultiLvlLbl val="0"/>
      </c:catAx>
      <c:valAx>
        <c:axId val="83255274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</a:p>
        </c:txPr>
        <c:crossAx val="1048330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6b770c39-82b1-45be-bc86-d7a7b8f815a2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0</xdr:colOff>
      <xdr:row>12</xdr:row>
      <xdr:rowOff>0</xdr:rowOff>
    </xdr:from>
    <xdr:to>
      <xdr:col>12</xdr:col>
      <xdr:colOff>277920</xdr:colOff>
      <xdr:row>21</xdr:row>
      <xdr:rowOff>69480</xdr:rowOff>
    </xdr:to>
    <xdr:graphicFrame>
      <xdr:nvGraphicFramePr>
        <xdr:cNvPr id="2" name="Chart 1"/>
        <xdr:cNvGraphicFramePr/>
      </xdr:nvGraphicFramePr>
      <xdr:xfrm>
        <a:off x="6583680" y="3217545"/>
        <a:ext cx="5560695" cy="22771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B1F3A"/>
    <pageSetUpPr fitToPage="1"/>
  </sheetPr>
  <dimension ref="A1:P35"/>
  <sheetViews>
    <sheetView showGridLines="0" topLeftCell="A14" workbookViewId="0">
      <selection activeCell="A1" sqref="A1"/>
    </sheetView>
  </sheetViews>
  <sheetFormatPr defaultColWidth="8.6796875" defaultRowHeight="16.8"/>
  <cols>
    <col min="1" max="1" width="3" customWidth="1"/>
    <col min="2" max="13" width="13" customWidth="1"/>
    <col min="14" max="14" width="3" customWidth="1"/>
  </cols>
  <sheetData>
    <row r="1" spans="1:16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P1" s="28" t="s">
        <v>0</v>
      </c>
    </row>
    <row r="2" ht="36" customHeight="1" spans="1:16">
      <c r="A2" s="4"/>
      <c r="B2" s="29" t="s">
        <v>1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P2" s="30">
        <f ca="1">_xlfn.MINIFS(Tracker!$H$5:$H$104,Tracker!$H$5:$H$104,"&gt;="&amp;TODAY(),Tracker!$J$5:$J$104,"&lt;&gt;Yes")</f>
        <v>46311</v>
      </c>
    </row>
    <row r="3" spans="1:16">
      <c r="A3" s="4"/>
      <c r="B3" s="6" t="s">
        <v>2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ht="9.75" customHeight="1"/>
    <row r="5" ht="19.5" customHeight="1" spans="1:16">
      <c r="B5" s="31" t="s">
        <v>3</v>
      </c>
      <c r="C5" s="31"/>
      <c r="D5" s="31"/>
      <c r="E5" s="32" t="s">
        <v>4</v>
      </c>
      <c r="F5" s="32"/>
      <c r="G5" s="32"/>
      <c r="H5" s="33" t="s">
        <v>5</v>
      </c>
      <c r="I5" s="33"/>
      <c r="J5" s="33"/>
      <c r="K5" s="34" t="s">
        <v>6</v>
      </c>
      <c r="L5" s="34"/>
      <c r="M5" s="34"/>
    </row>
    <row r="6" ht="39.75" customHeight="1" spans="1:16">
      <c r="B6" s="35">
        <f>COUNTA(Tracker!$B$5:$B$104)</f>
        <v>30</v>
      </c>
      <c r="C6" s="35"/>
      <c r="D6" s="35"/>
      <c r="E6" s="36">
        <f>COUNTIF(Tracker!$J$5:$J$104,"Yes")</f>
        <v>1</v>
      </c>
      <c r="F6" s="36"/>
      <c r="G6" s="36"/>
      <c r="H6" s="37">
        <f ca="1">COUNTIFS(Tracker!$H$5:$H$104,"&gt;="&amp;TODAY(),Tracker!$H$5:$H$104,"&lt;="&amp;TODAY()+21,Tracker!$J$5:$J$104,"&lt;&gt;Yes")</f>
        <v>4</v>
      </c>
      <c r="I6" s="37"/>
      <c r="J6" s="37"/>
      <c r="K6" s="38">
        <f ca="1">IF(OR(P2=0,P2=""),"—",P2)</f>
        <v>46311</v>
      </c>
      <c r="L6" s="38"/>
      <c r="M6" s="38"/>
    </row>
    <row r="7" ht="18" customHeight="1" spans="1:16">
      <c r="B7" s="39" t="s">
        <v>7</v>
      </c>
      <c r="C7" s="39"/>
      <c r="D7" s="39"/>
      <c r="E7" s="40" t="s">
        <v>8</v>
      </c>
      <c r="F7" s="40"/>
      <c r="G7" s="40"/>
      <c r="H7" s="41" t="s">
        <v>9</v>
      </c>
      <c r="I7" s="41"/>
      <c r="J7" s="41"/>
      <c r="K7" s="42" t="s">
        <v>10</v>
      </c>
      <c r="L7" s="42"/>
      <c r="M7" s="42"/>
    </row>
    <row r="8" ht="9.75" customHeight="1"/>
    <row r="9" ht="19.5" customHeight="1" spans="1:16">
      <c r="B9" s="43" t="s">
        <v>11</v>
      </c>
      <c r="C9" s="43"/>
      <c r="D9" s="43"/>
      <c r="E9" s="44" t="s">
        <v>12</v>
      </c>
      <c r="F9" s="44"/>
      <c r="G9" s="44"/>
      <c r="H9" s="45" t="s">
        <v>13</v>
      </c>
      <c r="I9" s="45"/>
      <c r="J9" s="45"/>
      <c r="K9" s="46" t="s">
        <v>14</v>
      </c>
      <c r="L9" s="46"/>
      <c r="M9" s="46"/>
    </row>
    <row r="10" ht="39.75" customHeight="1" spans="1:16">
      <c r="B10" s="47">
        <f>SUMPRODUCT((Tracker!$M$5:$M$104&lt;&gt;"")*(Tracker!$M$5:$M$104&lt;&gt;"Not Invited"))</f>
        <v>0</v>
      </c>
      <c r="C10" s="47"/>
      <c r="D10" s="47"/>
      <c r="E10" s="48">
        <f>SUMPRODUCT((Tracker!$O$5:$O$104&lt;&gt;"")*(Tracker!$O$5:$O$104&lt;&gt;"Not Invited"))</f>
        <v>0</v>
      </c>
      <c r="F10" s="48"/>
      <c r="G10" s="48"/>
      <c r="H10" s="49">
        <f>SUMPRODUCT((Tracker!$Q$5:$Q$104&lt;&gt;"")*(Tracker!$Q$5:$Q$104&lt;&gt;"Not Invited"))</f>
        <v>0</v>
      </c>
      <c r="I10" s="49"/>
      <c r="J10" s="49"/>
      <c r="K10" s="50">
        <f>COUNTIF(Tracker!$S$5:$S$104,"Offer Received")+COUNTIF(Tracker!$S$5:$S$104,"Accepted")</f>
        <v>0</v>
      </c>
      <c r="L10" s="50"/>
      <c r="M10" s="50"/>
    </row>
    <row r="11" ht="18" customHeight="1" spans="1:16">
      <c r="B11" s="51" t="s">
        <v>15</v>
      </c>
      <c r="C11" s="51"/>
      <c r="D11" s="51"/>
      <c r="E11" s="52" t="s">
        <v>15</v>
      </c>
      <c r="F11" s="52"/>
      <c r="G11" s="52"/>
      <c r="H11" s="53" t="s">
        <v>15</v>
      </c>
      <c r="I11" s="53"/>
      <c r="J11" s="53"/>
      <c r="K11" s="54" t="s">
        <v>16</v>
      </c>
      <c r="L11" s="54"/>
      <c r="M11" s="54"/>
    </row>
    <row r="12" ht="9.75" customHeight="1"/>
    <row r="13" ht="21.75" customHeight="1" spans="1:16">
      <c r="B13" s="55" t="s">
        <v>17</v>
      </c>
      <c r="C13" s="4"/>
      <c r="D13" s="4"/>
      <c r="E13" s="4"/>
      <c r="F13" s="4"/>
    </row>
    <row r="14" spans="1:16">
      <c r="B14" s="56" t="s">
        <v>18</v>
      </c>
      <c r="C14" s="56"/>
      <c r="D14" s="56"/>
      <c r="E14" s="57" t="s">
        <v>19</v>
      </c>
      <c r="F14" s="57" t="s">
        <v>20</v>
      </c>
    </row>
    <row r="15" ht="21.75" customHeight="1" spans="1:16">
      <c r="B15" s="58" t="s">
        <v>21</v>
      </c>
      <c r="C15" s="58"/>
      <c r="D15" s="58"/>
      <c r="E15" s="59">
        <f>COUNTIF(Tracker!$J$5:$J$104,"Yes")</f>
        <v>1</v>
      </c>
      <c r="F15" s="60">
        <f>IF($E$15=0,0,E15/$E$15)</f>
        <v>1</v>
      </c>
    </row>
    <row r="16" ht="21.75" customHeight="1" spans="1:16">
      <c r="B16" s="58" t="s">
        <v>22</v>
      </c>
      <c r="C16" s="58"/>
      <c r="D16" s="58"/>
      <c r="E16" s="59">
        <f>SUMPRODUCT((Tracker!$M$5:$M$104&lt;&gt;"")*(Tracker!$M$5:$M$104&lt;&gt;"Not Invited"))</f>
        <v>0</v>
      </c>
      <c r="F16" s="60">
        <f>IF($E$15=0,0,E16/$E$15)</f>
        <v>0</v>
      </c>
    </row>
    <row r="17" ht="21.75" customHeight="1" spans="2:13">
      <c r="B17" s="58" t="s">
        <v>23</v>
      </c>
      <c r="C17" s="58"/>
      <c r="D17" s="58"/>
      <c r="E17" s="59">
        <f>SUMPRODUCT((Tracker!$O$5:$O$104&lt;&gt;"")*(Tracker!$O$5:$O$104&lt;&gt;"Not Invited"))</f>
        <v>0</v>
      </c>
      <c r="F17" s="60">
        <f>IF($E$15=0,0,E17/$E$15)</f>
        <v>0</v>
      </c>
    </row>
    <row r="18" ht="21.75" customHeight="1" spans="2:13">
      <c r="B18" s="58" t="s">
        <v>24</v>
      </c>
      <c r="C18" s="58"/>
      <c r="D18" s="58"/>
      <c r="E18" s="59">
        <f>SUMPRODUCT((Tracker!$Q$5:$Q$104&lt;&gt;"")*(Tracker!$Q$5:$Q$104&lt;&gt;"Not Invited"))</f>
        <v>0</v>
      </c>
      <c r="F18" s="60">
        <f>IF($E$15=0,0,E18/$E$15)</f>
        <v>0</v>
      </c>
    </row>
    <row r="19" ht="21.75" customHeight="1" spans="2:13">
      <c r="B19" s="58" t="s">
        <v>25</v>
      </c>
      <c r="C19" s="58"/>
      <c r="D19" s="58"/>
      <c r="E19" s="59">
        <f>COUNTIF(Tracker!$S$5:$S$104,"Offer Received")+COUNTIF(Tracker!$S$5:$S$104,"Accepted")</f>
        <v>0</v>
      </c>
      <c r="F19" s="60">
        <f>IF($E$15=0,0,E19/$E$15)</f>
        <v>0</v>
      </c>
    </row>
    <row r="20" ht="9.75" customHeight="1"/>
    <row r="22" ht="21.75" customHeight="1" spans="2:13">
      <c r="B22" s="55" t="s">
        <v>26</v>
      </c>
      <c r="C22" s="4"/>
      <c r="D22" s="4"/>
      <c r="E22" s="4"/>
      <c r="F22" s="4"/>
      <c r="H22" s="55" t="s">
        <v>27</v>
      </c>
      <c r="I22" s="4"/>
      <c r="J22" s="4"/>
      <c r="K22" s="4"/>
      <c r="L22" s="4"/>
      <c r="M22" s="4"/>
    </row>
    <row r="23" ht="19.5" customHeight="1" spans="2:13">
      <c r="B23" s="56" t="s">
        <v>28</v>
      </c>
      <c r="C23" s="56"/>
      <c r="D23" s="56"/>
      <c r="E23" s="57" t="s">
        <v>29</v>
      </c>
      <c r="F23" s="57" t="s">
        <v>21</v>
      </c>
      <c r="H23" s="61" t="s">
        <v>30</v>
      </c>
      <c r="I23" s="61"/>
      <c r="J23" s="61"/>
      <c r="K23" s="61"/>
      <c r="L23" s="61"/>
      <c r="M23" s="61"/>
    </row>
    <row r="24" ht="19.5" customHeight="1" spans="2:13">
      <c r="B24" s="58" t="s">
        <v>31</v>
      </c>
      <c r="C24" s="58"/>
      <c r="D24" s="58"/>
      <c r="E24" s="62">
        <f>COUNTIF(Tracker!$F$5:$F$104,B24)</f>
        <v>10</v>
      </c>
      <c r="F24" s="62">
        <f>COUNTIFS(Tracker!$F$5:$F$104,B24,Tracker!$J$5:$J$104,"Yes")</f>
        <v>0</v>
      </c>
      <c r="H24" s="61" t="s">
        <v>32</v>
      </c>
      <c r="I24" s="61"/>
      <c r="J24" s="61"/>
      <c r="K24" s="61"/>
      <c r="L24" s="61"/>
      <c r="M24" s="61"/>
    </row>
    <row r="25" ht="19.5" customHeight="1" spans="2:13">
      <c r="B25" s="58" t="s">
        <v>33</v>
      </c>
      <c r="C25" s="58"/>
      <c r="D25" s="58"/>
      <c r="E25" s="62">
        <f>COUNTIF(Tracker!$F$5:$F$104,B25)</f>
        <v>10</v>
      </c>
      <c r="F25" s="62">
        <f>COUNTIFS(Tracker!$F$5:$F$104,B25,Tracker!$J$5:$J$104,"Yes")</f>
        <v>0</v>
      </c>
      <c r="H25" s="61" t="s">
        <v>34</v>
      </c>
      <c r="I25" s="61"/>
      <c r="J25" s="61"/>
      <c r="K25" s="61"/>
      <c r="L25" s="61"/>
      <c r="M25" s="61"/>
    </row>
    <row r="26" ht="19.5" customHeight="1" spans="2:13">
      <c r="B26" s="58" t="s">
        <v>35</v>
      </c>
      <c r="C26" s="58"/>
      <c r="D26" s="58"/>
      <c r="E26" s="62">
        <f>COUNTIF(Tracker!$F$5:$F$104,B26)</f>
        <v>3</v>
      </c>
      <c r="F26" s="62">
        <f>COUNTIFS(Tracker!$F$5:$F$104,B26,Tracker!$J$5:$J$104,"Yes")</f>
        <v>0</v>
      </c>
      <c r="H26" s="61" t="s">
        <v>36</v>
      </c>
      <c r="I26" s="61"/>
      <c r="J26" s="61"/>
      <c r="K26" s="61"/>
      <c r="L26" s="61"/>
      <c r="M26" s="61"/>
    </row>
    <row r="27" ht="19.5" customHeight="1" spans="2:13">
      <c r="B27" s="58" t="s">
        <v>37</v>
      </c>
      <c r="C27" s="58"/>
      <c r="D27" s="58"/>
      <c r="E27" s="62">
        <f>COUNTIF(Tracker!$F$5:$F$104,B27)</f>
        <v>1</v>
      </c>
      <c r="F27" s="62">
        <f>COUNTIFS(Tracker!$F$5:$F$104,B27,Tracker!$J$5:$J$104,"Yes")</f>
        <v>0</v>
      </c>
      <c r="H27" s="61" t="s">
        <v>38</v>
      </c>
      <c r="I27" s="61"/>
      <c r="J27" s="61"/>
      <c r="K27" s="61"/>
      <c r="L27" s="61"/>
      <c r="M27" s="61"/>
    </row>
    <row r="28" ht="19.5" customHeight="1" spans="2:13">
      <c r="B28" s="58" t="s">
        <v>39</v>
      </c>
      <c r="C28" s="58"/>
      <c r="D28" s="58"/>
      <c r="E28" s="62">
        <f>COUNTIF(Tracker!$F$5:$F$104,B28)</f>
        <v>1</v>
      </c>
      <c r="F28" s="62">
        <f>COUNTIFS(Tracker!$F$5:$F$104,B28,Tracker!$J$5:$J$104,"Yes")</f>
        <v>1</v>
      </c>
      <c r="H28" s="61" t="s">
        <v>40</v>
      </c>
      <c r="I28" s="61"/>
      <c r="J28" s="61"/>
      <c r="K28" s="61"/>
      <c r="L28" s="61"/>
      <c r="M28" s="61"/>
    </row>
    <row r="29" ht="19.5" customHeight="1" spans="2:13">
      <c r="B29" s="58" t="s">
        <v>41</v>
      </c>
      <c r="C29" s="58"/>
      <c r="D29" s="58"/>
      <c r="E29" s="62">
        <f>COUNTIF(Tracker!$F$5:$F$104,B29)</f>
        <v>2</v>
      </c>
      <c r="F29" s="62">
        <f>COUNTIFS(Tracker!$F$5:$F$104,B29,Tracker!$J$5:$J$104,"Yes")</f>
        <v>0</v>
      </c>
      <c r="H29" s="61" t="s">
        <v>42</v>
      </c>
      <c r="I29" s="61"/>
      <c r="J29" s="61"/>
      <c r="K29" s="61"/>
      <c r="L29" s="61"/>
      <c r="M29" s="61"/>
    </row>
    <row r="30" ht="19.5" customHeight="1" spans="2:13">
      <c r="B30" s="58" t="s">
        <v>43</v>
      </c>
      <c r="C30" s="58"/>
      <c r="D30" s="58"/>
      <c r="E30" s="62">
        <f>COUNTIF(Tracker!$F$5:$F$104,B30)</f>
        <v>1</v>
      </c>
      <c r="F30" s="62">
        <f>COUNTIFS(Tracker!$F$5:$F$104,B30,Tracker!$J$5:$J$104,"Yes")</f>
        <v>0</v>
      </c>
    </row>
    <row r="31" ht="19.5" customHeight="1" spans="2:13">
      <c r="B31" s="58" t="s">
        <v>44</v>
      </c>
      <c r="C31" s="58"/>
      <c r="D31" s="58"/>
      <c r="E31" s="62">
        <f>COUNTIF(Tracker!$F$5:$F$104,B31)</f>
        <v>1</v>
      </c>
      <c r="F31" s="62">
        <f>COUNTIFS(Tracker!$F$5:$F$104,B31,Tracker!$J$5:$J$104,"Yes")</f>
        <v>0</v>
      </c>
    </row>
    <row r="32" ht="19.5" customHeight="1" spans="2:13">
      <c r="B32" s="58" t="s">
        <v>45</v>
      </c>
      <c r="C32" s="58"/>
      <c r="D32" s="58"/>
      <c r="E32" s="62">
        <f>COUNTIF(Tracker!$F$5:$F$104,B32)</f>
        <v>1</v>
      </c>
      <c r="F32" s="62">
        <f>COUNTIFS(Tracker!$F$5:$F$104,B32,Tracker!$J$5:$J$104,"Yes")</f>
        <v>0</v>
      </c>
    </row>
    <row r="34" ht="15" customHeight="1" spans="2:13">
      <c r="B34" s="63" t="s">
        <v>46</v>
      </c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</row>
    <row r="35" spans="2:13"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</row>
  </sheetData>
  <mergeCells count="48">
    <mergeCell ref="B5:D5"/>
    <mergeCell ref="E5:G5"/>
    <mergeCell ref="H5:J5"/>
    <mergeCell ref="K5:M5"/>
    <mergeCell ref="B6:D6"/>
    <mergeCell ref="E6:G6"/>
    <mergeCell ref="H6:J6"/>
    <mergeCell ref="K6:M6"/>
    <mergeCell ref="B7:D7"/>
    <mergeCell ref="E7:G7"/>
    <mergeCell ref="H7:J7"/>
    <mergeCell ref="K7:M7"/>
    <mergeCell ref="B9:D9"/>
    <mergeCell ref="E9:G9"/>
    <mergeCell ref="H9:J9"/>
    <mergeCell ref="K9:M9"/>
    <mergeCell ref="B10:D10"/>
    <mergeCell ref="E10:G10"/>
    <mergeCell ref="H10:J10"/>
    <mergeCell ref="K10:M10"/>
    <mergeCell ref="B11:D11"/>
    <mergeCell ref="E11:G11"/>
    <mergeCell ref="H11:J11"/>
    <mergeCell ref="K11:M11"/>
    <mergeCell ref="B14:D14"/>
    <mergeCell ref="B15:D15"/>
    <mergeCell ref="B16:D16"/>
    <mergeCell ref="B17:D17"/>
    <mergeCell ref="B18:D18"/>
    <mergeCell ref="B19:D19"/>
    <mergeCell ref="B23:D23"/>
    <mergeCell ref="H23:M23"/>
    <mergeCell ref="B24:D24"/>
    <mergeCell ref="H24:M24"/>
    <mergeCell ref="B25:D25"/>
    <mergeCell ref="H25:M25"/>
    <mergeCell ref="B26:D26"/>
    <mergeCell ref="H26:M26"/>
    <mergeCell ref="B27:D27"/>
    <mergeCell ref="H27:M27"/>
    <mergeCell ref="B28:D28"/>
    <mergeCell ref="H28:M28"/>
    <mergeCell ref="B29:D29"/>
    <mergeCell ref="H29:M29"/>
    <mergeCell ref="B30:D30"/>
    <mergeCell ref="B31:D31"/>
    <mergeCell ref="B32:D32"/>
    <mergeCell ref="B34:M35"/>
  </mergeCells>
  <conditionalFormatting sqref="E15:E19">
    <cfRule type="dataBar" priority="2">
      <dataBar>
        <cfvo type="num" val="0"/>
        <cfvo type="max"/>
        <color rgb="FF0F9D8F"/>
      </dataBar>
      <extLst>
        <ext xmlns:x14="http://schemas.microsoft.com/office/spreadsheetml/2009/9/main" uri="{B025F937-C7B1-47D3-B67F-A62EFF666E3E}">
          <x14:id>{72660049-a98e-463c-8fbe-7ecef899bc2f}</x14:id>
        </ext>
      </extLst>
    </cfRule>
  </conditionalFormatting>
  <conditionalFormatting sqref="E24:E32">
    <cfRule type="dataBar" priority="3">
      <dataBar>
        <cfvo type="num" val="0"/>
        <cfvo type="max"/>
        <color rgb="FF60A5FA"/>
      </dataBar>
      <extLst>
        <ext xmlns:x14="http://schemas.microsoft.com/office/spreadsheetml/2009/9/main" uri="{B025F937-C7B1-47D3-B67F-A62EFF666E3E}">
          <x14:id>{3b7307e7-4b49-436d-8c3b-2cd1b878ee53}</x14:id>
        </ext>
      </extLst>
    </cfRule>
  </conditionalFormatting>
  <pageMargins left="0.75" right="0.75" top="1" bottom="1" header="0.511811023622047" footer="0.511811023622047"/>
  <pageSetup paperSize="1" fitToHeight="0" orientation="landscape" horizontalDpi="300" verticalDpi="300"/>
  <headerFooter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2660049-a98e-463c-8fbe-7ecef899bc2f}">
            <x14:dataBar minLength="10" maxLength="90" axisPosition="none">
              <x14:cfvo type="num">
                <xm:f>0</xm:f>
              </x14:cfvo>
              <x14:cfvo type="max"/>
              <x14:negativeFillColor rgb="FF0F9D8F"/>
              <x14:axisColor indexed="65"/>
            </x14:dataBar>
          </x14:cfRule>
          <xm:sqref>E15:E19</xm:sqref>
        </x14:conditionalFormatting>
        <x14:conditionalFormatting xmlns:xm="http://schemas.microsoft.com/office/excel/2006/main">
          <x14:cfRule type="dataBar" id="{3b7307e7-4b49-436d-8c3b-2cd1b878ee53}">
            <x14:dataBar minLength="10" maxLength="90" axisPosition="none">
              <x14:cfvo type="num">
                <xm:f>0</xm:f>
              </x14:cfvo>
              <x14:cfvo type="max"/>
              <x14:negativeFillColor rgb="FF60A5FA"/>
              <x14:axisColor indexed="65"/>
            </x14:dataBar>
          </x14:cfRule>
          <xm:sqref>E24:E32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F9D8F"/>
    <pageSetUpPr fitToPage="1"/>
  </sheetPr>
  <dimension ref="A1:V104"/>
  <sheetViews>
    <sheetView showGridLines="0" tabSelected="1" zoomScale="90" zoomScaleNormal="90" workbookViewId="0">
      <pane xSplit="2" ySplit="4" topLeftCell="C17" activePane="bottomRight" state="frozen"/>
      <selection/>
      <selection pane="topRight"/>
      <selection pane="bottomLeft"/>
      <selection pane="bottomRight" activeCell="A1" sqref="A1"/>
    </sheetView>
  </sheetViews>
  <sheetFormatPr defaultColWidth="8.6796875" defaultRowHeight="16.8"/>
  <cols>
    <col min="1" max="1" width="5" customWidth="1"/>
    <col min="2" max="2" width="26" customWidth="1"/>
    <col min="3" max="3" width="14" customWidth="1"/>
    <col min="4" max="4" width="38" customWidth="1"/>
    <col min="5" max="5" width="26" customWidth="1"/>
    <col min="6" max="6" width="16" customWidth="1"/>
    <col min="7" max="7" width="11" customWidth="1"/>
    <col min="8" max="8" width="13" customWidth="1"/>
    <col min="9" max="10" width="10" customWidth="1"/>
    <col min="11" max="11" width="13" customWidth="1"/>
    <col min="12" max="12" width="16" customWidth="1"/>
    <col min="13" max="18" width="13" customWidth="1"/>
    <col min="19" max="19" width="15" customWidth="1"/>
    <col min="20" max="20" width="13" customWidth="1"/>
    <col min="21" max="21" width="40" customWidth="1"/>
    <col min="22" max="22" width="46" customWidth="1"/>
  </cols>
  <sheetData>
    <row r="1" ht="33.75" customHeight="1" spans="1:22">
      <c r="A1" s="4"/>
      <c r="B1" s="5" t="s">
        <v>47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ht="19.5" customHeight="1" spans="1:22">
      <c r="A2" s="4"/>
      <c r="B2" s="6" t="s">
        <v>48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ht="19.5" customHeight="1" spans="1:22">
      <c r="A3" s="7" t="s">
        <v>49</v>
      </c>
      <c r="B3" s="7"/>
      <c r="C3" s="7"/>
      <c r="D3" s="7"/>
      <c r="E3" s="7"/>
      <c r="F3" s="7"/>
      <c r="G3" s="7"/>
      <c r="H3" s="7"/>
      <c r="I3" s="7"/>
      <c r="J3" s="8" t="s">
        <v>50</v>
      </c>
      <c r="K3" s="8"/>
      <c r="L3" s="8"/>
      <c r="M3" s="9" t="s">
        <v>51</v>
      </c>
      <c r="N3" s="9"/>
      <c r="O3" s="10" t="s">
        <v>52</v>
      </c>
      <c r="P3" s="10"/>
      <c r="Q3" s="11" t="s">
        <v>53</v>
      </c>
      <c r="R3" s="11"/>
      <c r="S3" s="12" t="s">
        <v>54</v>
      </c>
      <c r="T3" s="12"/>
      <c r="U3" s="13" t="s">
        <v>55</v>
      </c>
      <c r="V3" s="13"/>
    </row>
    <row r="4" ht="30" customHeight="1" spans="1:22">
      <c r="A4" s="14" t="s">
        <v>56</v>
      </c>
      <c r="B4" s="14" t="s">
        <v>57</v>
      </c>
      <c r="C4" s="14" t="s">
        <v>58</v>
      </c>
      <c r="D4" s="14" t="s">
        <v>59</v>
      </c>
      <c r="E4" s="14" t="s">
        <v>60</v>
      </c>
      <c r="F4" s="14" t="s">
        <v>61</v>
      </c>
      <c r="G4" s="14" t="s">
        <v>62</v>
      </c>
      <c r="H4" s="14" t="s">
        <v>63</v>
      </c>
      <c r="I4" s="14" t="s">
        <v>64</v>
      </c>
      <c r="J4" s="15" t="s">
        <v>65</v>
      </c>
      <c r="K4" s="15" t="s">
        <v>66</v>
      </c>
      <c r="L4" s="15" t="s">
        <v>67</v>
      </c>
      <c r="M4" s="16" t="s">
        <v>68</v>
      </c>
      <c r="N4" s="16" t="s">
        <v>69</v>
      </c>
      <c r="O4" s="17" t="s">
        <v>68</v>
      </c>
      <c r="P4" s="17" t="s">
        <v>69</v>
      </c>
      <c r="Q4" s="18" t="s">
        <v>68</v>
      </c>
      <c r="R4" s="18" t="s">
        <v>69</v>
      </c>
      <c r="S4" s="19" t="s">
        <v>25</v>
      </c>
      <c r="T4" s="19" t="s">
        <v>70</v>
      </c>
      <c r="U4" s="20" t="s">
        <v>71</v>
      </c>
      <c r="V4" s="20" t="s">
        <v>72</v>
      </c>
    </row>
    <row r="5" ht="21.75" customHeight="1" spans="1:22">
      <c r="A5" s="21">
        <f t="shared" ref="A5:A68" si="0">IF(B5="","",ROW()-4)</f>
        <v>1</v>
      </c>
      <c r="B5" s="22" t="s">
        <v>73</v>
      </c>
      <c r="C5" s="23" t="s">
        <v>74</v>
      </c>
      <c r="D5" s="24" t="s">
        <v>75</v>
      </c>
      <c r="E5" s="23" t="s">
        <v>76</v>
      </c>
      <c r="F5" s="25" t="s">
        <v>33</v>
      </c>
      <c r="G5" s="25" t="s">
        <v>77</v>
      </c>
      <c r="H5" s="26">
        <v>46311</v>
      </c>
      <c r="I5" s="27">
        <f ca="1" t="shared" ref="I5:I68" si="1">IF(OR(H5="",J5="Yes"),"",H5-TODAY())</f>
        <v>2</v>
      </c>
      <c r="J5" s="25" t="s">
        <v>78</v>
      </c>
      <c r="K5" s="26"/>
      <c r="L5" s="25" t="s">
        <v>79</v>
      </c>
      <c r="M5" s="25" t="s">
        <v>80</v>
      </c>
      <c r="N5" s="26"/>
      <c r="O5" s="25" t="s">
        <v>80</v>
      </c>
      <c r="P5" s="26"/>
      <c r="Q5" s="25" t="s">
        <v>80</v>
      </c>
      <c r="R5" s="26"/>
      <c r="S5" s="25" t="s">
        <v>81</v>
      </c>
      <c r="T5" s="26"/>
      <c r="U5" s="24" t="s">
        <v>82</v>
      </c>
      <c r="V5" s="24" t="s">
        <v>83</v>
      </c>
    </row>
    <row r="6" ht="21.75" customHeight="1" spans="1:22">
      <c r="A6" s="21">
        <f t="shared" si="0"/>
        <v>2</v>
      </c>
      <c r="B6" s="22" t="s">
        <v>73</v>
      </c>
      <c r="C6" s="23" t="s">
        <v>74</v>
      </c>
      <c r="D6" s="24" t="s">
        <v>84</v>
      </c>
      <c r="E6" s="23" t="s">
        <v>76</v>
      </c>
      <c r="F6" s="25" t="s">
        <v>33</v>
      </c>
      <c r="G6" s="25" t="s">
        <v>77</v>
      </c>
      <c r="H6" s="26">
        <v>46318</v>
      </c>
      <c r="I6" s="27">
        <f ca="1" t="shared" si="1"/>
        <v>9</v>
      </c>
      <c r="J6" s="25" t="s">
        <v>78</v>
      </c>
      <c r="K6" s="26"/>
      <c r="L6" s="25" t="s">
        <v>79</v>
      </c>
      <c r="M6" s="25" t="s">
        <v>80</v>
      </c>
      <c r="N6" s="26"/>
      <c r="O6" s="25" t="s">
        <v>80</v>
      </c>
      <c r="P6" s="26"/>
      <c r="Q6" s="25" t="s">
        <v>80</v>
      </c>
      <c r="R6" s="26"/>
      <c r="S6" s="25" t="s">
        <v>81</v>
      </c>
      <c r="T6" s="26"/>
      <c r="U6" s="24" t="s">
        <v>85</v>
      </c>
      <c r="V6" s="24" t="s">
        <v>83</v>
      </c>
    </row>
    <row r="7" ht="21.75" customHeight="1" spans="1:22">
      <c r="A7" s="21">
        <f t="shared" si="0"/>
        <v>3</v>
      </c>
      <c r="B7" s="22" t="s">
        <v>86</v>
      </c>
      <c r="C7" s="23" t="s">
        <v>87</v>
      </c>
      <c r="D7" s="24" t="s">
        <v>88</v>
      </c>
      <c r="E7" s="23" t="s">
        <v>89</v>
      </c>
      <c r="F7" s="25" t="s">
        <v>31</v>
      </c>
      <c r="G7" s="25" t="s">
        <v>77</v>
      </c>
      <c r="H7" s="26">
        <v>46325</v>
      </c>
      <c r="I7" s="27">
        <f ca="1" t="shared" si="1"/>
        <v>16</v>
      </c>
      <c r="J7" s="25" t="s">
        <v>78</v>
      </c>
      <c r="K7" s="26"/>
      <c r="L7" s="25" t="s">
        <v>79</v>
      </c>
      <c r="M7" s="25" t="s">
        <v>80</v>
      </c>
      <c r="N7" s="26"/>
      <c r="O7" s="25" t="s">
        <v>80</v>
      </c>
      <c r="P7" s="26"/>
      <c r="Q7" s="25" t="s">
        <v>80</v>
      </c>
      <c r="R7" s="26"/>
      <c r="S7" s="25" t="s">
        <v>81</v>
      </c>
      <c r="T7" s="26"/>
      <c r="U7" s="24" t="s">
        <v>90</v>
      </c>
      <c r="V7" s="24" t="s">
        <v>91</v>
      </c>
    </row>
    <row r="8" ht="21.75" customHeight="1" spans="1:22">
      <c r="A8" s="21">
        <f t="shared" si="0"/>
        <v>4</v>
      </c>
      <c r="B8" s="22" t="s">
        <v>92</v>
      </c>
      <c r="C8" s="23" t="s">
        <v>74</v>
      </c>
      <c r="D8" s="24" t="s">
        <v>93</v>
      </c>
      <c r="E8" s="23" t="s">
        <v>94</v>
      </c>
      <c r="F8" s="25" t="s">
        <v>33</v>
      </c>
      <c r="G8" s="25" t="s">
        <v>95</v>
      </c>
      <c r="H8" s="26"/>
      <c r="I8" s="27" t="str">
        <f ca="1" t="shared" si="1"/>
        <v/>
      </c>
      <c r="J8" s="25" t="s">
        <v>78</v>
      </c>
      <c r="K8" s="26"/>
      <c r="L8" s="25" t="s">
        <v>79</v>
      </c>
      <c r="M8" s="25" t="s">
        <v>80</v>
      </c>
      <c r="N8" s="26"/>
      <c r="O8" s="25" t="s">
        <v>80</v>
      </c>
      <c r="P8" s="26"/>
      <c r="Q8" s="25" t="s">
        <v>80</v>
      </c>
      <c r="R8" s="26"/>
      <c r="S8" s="25" t="s">
        <v>81</v>
      </c>
      <c r="T8" s="26"/>
      <c r="U8" s="24" t="s">
        <v>96</v>
      </c>
      <c r="V8" s="24" t="s">
        <v>97</v>
      </c>
    </row>
    <row r="9" ht="21.75" customHeight="1" spans="1:22">
      <c r="A9" s="21">
        <f t="shared" si="0"/>
        <v>5</v>
      </c>
      <c r="B9" s="22" t="s">
        <v>98</v>
      </c>
      <c r="C9" s="23" t="s">
        <v>74</v>
      </c>
      <c r="D9" s="24" t="s">
        <v>99</v>
      </c>
      <c r="E9" s="23" t="s">
        <v>100</v>
      </c>
      <c r="F9" s="25" t="s">
        <v>31</v>
      </c>
      <c r="G9" s="25" t="s">
        <v>77</v>
      </c>
      <c r="H9" s="26"/>
      <c r="I9" s="27" t="str">
        <f ca="1" t="shared" si="1"/>
        <v/>
      </c>
      <c r="J9" s="25" t="s">
        <v>78</v>
      </c>
      <c r="K9" s="26"/>
      <c r="L9" s="25" t="s">
        <v>79</v>
      </c>
      <c r="M9" s="25" t="s">
        <v>80</v>
      </c>
      <c r="N9" s="26"/>
      <c r="O9" s="25" t="s">
        <v>80</v>
      </c>
      <c r="P9" s="26"/>
      <c r="Q9" s="25" t="s">
        <v>80</v>
      </c>
      <c r="R9" s="26"/>
      <c r="S9" s="25" t="s">
        <v>81</v>
      </c>
      <c r="T9" s="26"/>
      <c r="U9" s="24" t="s">
        <v>101</v>
      </c>
      <c r="V9" s="24" t="s">
        <v>102</v>
      </c>
    </row>
    <row r="10" ht="21.75" customHeight="1" spans="1:22">
      <c r="A10" s="21">
        <f t="shared" si="0"/>
        <v>6</v>
      </c>
      <c r="B10" s="22" t="s">
        <v>103</v>
      </c>
      <c r="C10" s="23" t="s">
        <v>104</v>
      </c>
      <c r="D10" s="24" t="s">
        <v>105</v>
      </c>
      <c r="E10" s="23" t="s">
        <v>106</v>
      </c>
      <c r="F10" s="25" t="s">
        <v>39</v>
      </c>
      <c r="G10" s="25" t="s">
        <v>95</v>
      </c>
      <c r="H10" s="26"/>
      <c r="I10" s="27" t="str">
        <f ca="1" t="shared" si="1"/>
        <v/>
      </c>
      <c r="J10" s="25" t="s">
        <v>107</v>
      </c>
      <c r="K10" s="26"/>
      <c r="L10" s="25" t="s">
        <v>108</v>
      </c>
      <c r="M10" s="25" t="s">
        <v>80</v>
      </c>
      <c r="N10" s="26"/>
      <c r="O10" s="25" t="s">
        <v>80</v>
      </c>
      <c r="P10" s="26"/>
      <c r="Q10" s="25" t="s">
        <v>80</v>
      </c>
      <c r="R10" s="26"/>
      <c r="S10" s="25" t="s">
        <v>81</v>
      </c>
      <c r="T10" s="26"/>
      <c r="U10" s="24" t="s">
        <v>109</v>
      </c>
      <c r="V10" s="24" t="s">
        <v>110</v>
      </c>
    </row>
    <row r="11" ht="21.75" customHeight="1" spans="1:22">
      <c r="A11" s="21">
        <f t="shared" si="0"/>
        <v>7</v>
      </c>
      <c r="B11" s="22" t="s">
        <v>111</v>
      </c>
      <c r="C11" s="23" t="s">
        <v>104</v>
      </c>
      <c r="D11" s="24" t="s">
        <v>112</v>
      </c>
      <c r="E11" s="23" t="s">
        <v>100</v>
      </c>
      <c r="F11" s="25" t="s">
        <v>43</v>
      </c>
      <c r="G11" s="25" t="s">
        <v>113</v>
      </c>
      <c r="H11" s="26">
        <v>46311</v>
      </c>
      <c r="I11" s="27">
        <f ca="1" t="shared" si="1"/>
        <v>2</v>
      </c>
      <c r="J11" s="25" t="s">
        <v>78</v>
      </c>
      <c r="K11" s="26"/>
      <c r="L11" s="25" t="s">
        <v>79</v>
      </c>
      <c r="M11" s="25" t="s">
        <v>80</v>
      </c>
      <c r="N11" s="26"/>
      <c r="O11" s="25" t="s">
        <v>80</v>
      </c>
      <c r="P11" s="26"/>
      <c r="Q11" s="25" t="s">
        <v>80</v>
      </c>
      <c r="R11" s="26"/>
      <c r="S11" s="25" t="s">
        <v>81</v>
      </c>
      <c r="T11" s="26"/>
      <c r="U11" s="24" t="s">
        <v>114</v>
      </c>
      <c r="V11" s="24" t="s">
        <v>115</v>
      </c>
    </row>
    <row r="12" ht="21.75" customHeight="1" spans="1:22">
      <c r="A12" s="21">
        <f t="shared" si="0"/>
        <v>8</v>
      </c>
      <c r="B12" s="22" t="s">
        <v>116</v>
      </c>
      <c r="C12" s="23" t="s">
        <v>74</v>
      </c>
      <c r="D12" s="24" t="s">
        <v>117</v>
      </c>
      <c r="E12" s="23" t="s">
        <v>118</v>
      </c>
      <c r="F12" s="25" t="s">
        <v>33</v>
      </c>
      <c r="G12" s="25" t="s">
        <v>95</v>
      </c>
      <c r="H12" s="26"/>
      <c r="I12" s="27" t="str">
        <f ca="1" t="shared" si="1"/>
        <v/>
      </c>
      <c r="J12" s="25" t="s">
        <v>78</v>
      </c>
      <c r="K12" s="26"/>
      <c r="L12" s="25" t="s">
        <v>79</v>
      </c>
      <c r="M12" s="25" t="s">
        <v>80</v>
      </c>
      <c r="N12" s="26"/>
      <c r="O12" s="25" t="s">
        <v>80</v>
      </c>
      <c r="P12" s="26"/>
      <c r="Q12" s="25" t="s">
        <v>80</v>
      </c>
      <c r="R12" s="26"/>
      <c r="S12" s="25" t="s">
        <v>81</v>
      </c>
      <c r="T12" s="26"/>
      <c r="U12" s="24" t="s">
        <v>119</v>
      </c>
      <c r="V12" s="24" t="s">
        <v>120</v>
      </c>
    </row>
    <row r="13" ht="21.75" customHeight="1" spans="1:22">
      <c r="A13" s="21">
        <f t="shared" si="0"/>
        <v>9</v>
      </c>
      <c r="B13" s="22" t="s">
        <v>121</v>
      </c>
      <c r="C13" s="23" t="s">
        <v>74</v>
      </c>
      <c r="D13" s="24" t="s">
        <v>122</v>
      </c>
      <c r="E13" s="23" t="s">
        <v>123</v>
      </c>
      <c r="F13" s="25" t="s">
        <v>33</v>
      </c>
      <c r="G13" s="25" t="s">
        <v>113</v>
      </c>
      <c r="H13" s="26"/>
      <c r="I13" s="27" t="str">
        <f ca="1" t="shared" si="1"/>
        <v/>
      </c>
      <c r="J13" s="25" t="s">
        <v>78</v>
      </c>
      <c r="K13" s="26"/>
      <c r="L13" s="25" t="s">
        <v>79</v>
      </c>
      <c r="M13" s="25" t="s">
        <v>80</v>
      </c>
      <c r="N13" s="26"/>
      <c r="O13" s="25" t="s">
        <v>80</v>
      </c>
      <c r="P13" s="26"/>
      <c r="Q13" s="25" t="s">
        <v>80</v>
      </c>
      <c r="R13" s="26"/>
      <c r="S13" s="25" t="s">
        <v>81</v>
      </c>
      <c r="T13" s="26"/>
      <c r="U13" s="24" t="s">
        <v>119</v>
      </c>
      <c r="V13" s="24" t="s">
        <v>124</v>
      </c>
    </row>
    <row r="14" ht="21.75" customHeight="1" spans="1:22">
      <c r="A14" s="21">
        <f t="shared" si="0"/>
        <v>10</v>
      </c>
      <c r="B14" s="22" t="s">
        <v>125</v>
      </c>
      <c r="C14" s="23" t="s">
        <v>74</v>
      </c>
      <c r="D14" s="24" t="s">
        <v>126</v>
      </c>
      <c r="E14" s="23" t="s">
        <v>127</v>
      </c>
      <c r="F14" s="25" t="s">
        <v>33</v>
      </c>
      <c r="G14" s="25" t="s">
        <v>95</v>
      </c>
      <c r="H14" s="26"/>
      <c r="I14" s="27" t="str">
        <f ca="1" t="shared" si="1"/>
        <v/>
      </c>
      <c r="J14" s="25" t="s">
        <v>78</v>
      </c>
      <c r="K14" s="26"/>
      <c r="L14" s="25" t="s">
        <v>79</v>
      </c>
      <c r="M14" s="25" t="s">
        <v>80</v>
      </c>
      <c r="N14" s="26"/>
      <c r="O14" s="25" t="s">
        <v>80</v>
      </c>
      <c r="P14" s="26"/>
      <c r="Q14" s="25" t="s">
        <v>80</v>
      </c>
      <c r="R14" s="26"/>
      <c r="S14" s="25" t="s">
        <v>81</v>
      </c>
      <c r="T14" s="26"/>
      <c r="U14" s="24" t="s">
        <v>128</v>
      </c>
      <c r="V14" s="24" t="s">
        <v>129</v>
      </c>
    </row>
    <row r="15" ht="21.75" customHeight="1" spans="1:22">
      <c r="A15" s="21">
        <f t="shared" si="0"/>
        <v>11</v>
      </c>
      <c r="B15" s="22" t="s">
        <v>130</v>
      </c>
      <c r="C15" s="23" t="s">
        <v>74</v>
      </c>
      <c r="D15" s="24" t="s">
        <v>131</v>
      </c>
      <c r="E15" s="23" t="s">
        <v>127</v>
      </c>
      <c r="F15" s="25" t="s">
        <v>31</v>
      </c>
      <c r="G15" s="25" t="s">
        <v>77</v>
      </c>
      <c r="H15" s="26"/>
      <c r="I15" s="27" t="str">
        <f ca="1" t="shared" si="1"/>
        <v/>
      </c>
      <c r="J15" s="25" t="s">
        <v>78</v>
      </c>
      <c r="K15" s="26"/>
      <c r="L15" s="25" t="s">
        <v>79</v>
      </c>
      <c r="M15" s="25" t="s">
        <v>80</v>
      </c>
      <c r="N15" s="26"/>
      <c r="O15" s="25" t="s">
        <v>80</v>
      </c>
      <c r="P15" s="26"/>
      <c r="Q15" s="25" t="s">
        <v>80</v>
      </c>
      <c r="R15" s="26"/>
      <c r="S15" s="25" t="s">
        <v>81</v>
      </c>
      <c r="T15" s="26"/>
      <c r="U15" s="24" t="s">
        <v>132</v>
      </c>
      <c r="V15" s="24" t="s">
        <v>133</v>
      </c>
    </row>
    <row r="16" ht="21.75" customHeight="1" spans="1:22">
      <c r="A16" s="21">
        <f t="shared" si="0"/>
        <v>12</v>
      </c>
      <c r="B16" s="22" t="s">
        <v>134</v>
      </c>
      <c r="C16" s="23" t="s">
        <v>74</v>
      </c>
      <c r="D16" s="24" t="s">
        <v>135</v>
      </c>
      <c r="E16" s="23" t="s">
        <v>127</v>
      </c>
      <c r="F16" s="25" t="s">
        <v>31</v>
      </c>
      <c r="G16" s="25" t="s">
        <v>95</v>
      </c>
      <c r="H16" s="26"/>
      <c r="I16" s="27" t="str">
        <f ca="1" t="shared" si="1"/>
        <v/>
      </c>
      <c r="J16" s="25" t="s">
        <v>78</v>
      </c>
      <c r="K16" s="26"/>
      <c r="L16" s="25" t="s">
        <v>79</v>
      </c>
      <c r="M16" s="25" t="s">
        <v>80</v>
      </c>
      <c r="N16" s="26"/>
      <c r="O16" s="25" t="s">
        <v>80</v>
      </c>
      <c r="P16" s="26"/>
      <c r="Q16" s="25" t="s">
        <v>80</v>
      </c>
      <c r="R16" s="26"/>
      <c r="S16" s="25" t="s">
        <v>81</v>
      </c>
      <c r="T16" s="26"/>
      <c r="U16" s="24" t="s">
        <v>136</v>
      </c>
      <c r="V16" s="24" t="s">
        <v>137</v>
      </c>
    </row>
    <row r="17" ht="21.75" customHeight="1" spans="1:22">
      <c r="A17" s="21">
        <f t="shared" si="0"/>
        <v>13</v>
      </c>
      <c r="B17" s="22" t="s">
        <v>138</v>
      </c>
      <c r="C17" s="23" t="s">
        <v>74</v>
      </c>
      <c r="D17" s="24" t="s">
        <v>139</v>
      </c>
      <c r="E17" s="23" t="s">
        <v>123</v>
      </c>
      <c r="F17" s="25" t="s">
        <v>31</v>
      </c>
      <c r="G17" s="25" t="s">
        <v>95</v>
      </c>
      <c r="H17" s="26"/>
      <c r="I17" s="27" t="str">
        <f ca="1" t="shared" si="1"/>
        <v/>
      </c>
      <c r="J17" s="25" t="s">
        <v>78</v>
      </c>
      <c r="K17" s="26"/>
      <c r="L17" s="25" t="s">
        <v>79</v>
      </c>
      <c r="M17" s="25" t="s">
        <v>80</v>
      </c>
      <c r="N17" s="26"/>
      <c r="O17" s="25" t="s">
        <v>80</v>
      </c>
      <c r="P17" s="26"/>
      <c r="Q17" s="25" t="s">
        <v>80</v>
      </c>
      <c r="R17" s="26"/>
      <c r="S17" s="25" t="s">
        <v>81</v>
      </c>
      <c r="T17" s="26"/>
      <c r="U17" s="24" t="s">
        <v>140</v>
      </c>
      <c r="V17" s="24" t="s">
        <v>141</v>
      </c>
    </row>
    <row r="18" ht="21.75" customHeight="1" spans="1:22">
      <c r="A18" s="21">
        <f t="shared" si="0"/>
        <v>14</v>
      </c>
      <c r="B18" s="22" t="s">
        <v>142</v>
      </c>
      <c r="C18" s="23" t="s">
        <v>87</v>
      </c>
      <c r="D18" s="24" t="s">
        <v>143</v>
      </c>
      <c r="E18" s="23" t="s">
        <v>123</v>
      </c>
      <c r="F18" s="25" t="s">
        <v>35</v>
      </c>
      <c r="G18" s="25" t="s">
        <v>113</v>
      </c>
      <c r="H18" s="26"/>
      <c r="I18" s="27" t="str">
        <f ca="1" t="shared" si="1"/>
        <v/>
      </c>
      <c r="J18" s="25" t="s">
        <v>78</v>
      </c>
      <c r="K18" s="26"/>
      <c r="L18" s="25" t="s">
        <v>79</v>
      </c>
      <c r="M18" s="25" t="s">
        <v>80</v>
      </c>
      <c r="N18" s="26"/>
      <c r="O18" s="25" t="s">
        <v>80</v>
      </c>
      <c r="P18" s="26"/>
      <c r="Q18" s="25" t="s">
        <v>80</v>
      </c>
      <c r="R18" s="26"/>
      <c r="S18" s="25" t="s">
        <v>81</v>
      </c>
      <c r="T18" s="26"/>
      <c r="U18" s="24" t="s">
        <v>144</v>
      </c>
      <c r="V18" s="24" t="s">
        <v>145</v>
      </c>
    </row>
    <row r="19" ht="21.75" customHeight="1" spans="1:22">
      <c r="A19" s="21">
        <f t="shared" si="0"/>
        <v>15</v>
      </c>
      <c r="B19" s="22" t="s">
        <v>146</v>
      </c>
      <c r="C19" s="23" t="s">
        <v>87</v>
      </c>
      <c r="D19" s="24" t="s">
        <v>147</v>
      </c>
      <c r="E19" s="23" t="s">
        <v>123</v>
      </c>
      <c r="F19" s="25" t="s">
        <v>33</v>
      </c>
      <c r="G19" s="25" t="s">
        <v>113</v>
      </c>
      <c r="H19" s="26"/>
      <c r="I19" s="27" t="str">
        <f ca="1" t="shared" si="1"/>
        <v/>
      </c>
      <c r="J19" s="25" t="s">
        <v>78</v>
      </c>
      <c r="K19" s="26"/>
      <c r="L19" s="25" t="s">
        <v>79</v>
      </c>
      <c r="M19" s="25" t="s">
        <v>80</v>
      </c>
      <c r="N19" s="26"/>
      <c r="O19" s="25" t="s">
        <v>80</v>
      </c>
      <c r="P19" s="26"/>
      <c r="Q19" s="25" t="s">
        <v>80</v>
      </c>
      <c r="R19" s="26"/>
      <c r="S19" s="25" t="s">
        <v>81</v>
      </c>
      <c r="T19" s="26"/>
      <c r="U19" s="24" t="s">
        <v>148</v>
      </c>
      <c r="V19" s="24" t="s">
        <v>149</v>
      </c>
    </row>
    <row r="20" ht="21.75" customHeight="1" spans="1:22">
      <c r="A20" s="21">
        <f t="shared" si="0"/>
        <v>16</v>
      </c>
      <c r="B20" s="22" t="s">
        <v>150</v>
      </c>
      <c r="C20" s="23" t="s">
        <v>87</v>
      </c>
      <c r="D20" s="24" t="s">
        <v>151</v>
      </c>
      <c r="E20" s="23" t="s">
        <v>123</v>
      </c>
      <c r="F20" s="25" t="s">
        <v>35</v>
      </c>
      <c r="G20" s="25" t="s">
        <v>113</v>
      </c>
      <c r="H20" s="26"/>
      <c r="I20" s="27" t="str">
        <f ca="1" t="shared" si="1"/>
        <v/>
      </c>
      <c r="J20" s="25" t="s">
        <v>78</v>
      </c>
      <c r="K20" s="26"/>
      <c r="L20" s="25" t="s">
        <v>79</v>
      </c>
      <c r="M20" s="25" t="s">
        <v>80</v>
      </c>
      <c r="N20" s="26"/>
      <c r="O20" s="25" t="s">
        <v>80</v>
      </c>
      <c r="P20" s="26"/>
      <c r="Q20" s="25" t="s">
        <v>80</v>
      </c>
      <c r="R20" s="26"/>
      <c r="S20" s="25" t="s">
        <v>81</v>
      </c>
      <c r="T20" s="26"/>
      <c r="U20" s="24" t="s">
        <v>152</v>
      </c>
      <c r="V20" s="24" t="s">
        <v>153</v>
      </c>
    </row>
    <row r="21" ht="21.75" customHeight="1" spans="1:22">
      <c r="A21" s="21">
        <f t="shared" si="0"/>
        <v>17</v>
      </c>
      <c r="B21" s="22" t="s">
        <v>154</v>
      </c>
      <c r="C21" s="23" t="s">
        <v>87</v>
      </c>
      <c r="D21" s="24" t="s">
        <v>155</v>
      </c>
      <c r="E21" s="23" t="s">
        <v>156</v>
      </c>
      <c r="F21" s="25" t="s">
        <v>31</v>
      </c>
      <c r="G21" s="25" t="s">
        <v>95</v>
      </c>
      <c r="H21" s="26"/>
      <c r="I21" s="27" t="str">
        <f ca="1" t="shared" si="1"/>
        <v/>
      </c>
      <c r="J21" s="25" t="s">
        <v>78</v>
      </c>
      <c r="K21" s="26"/>
      <c r="L21" s="25" t="s">
        <v>79</v>
      </c>
      <c r="M21" s="25" t="s">
        <v>80</v>
      </c>
      <c r="N21" s="26"/>
      <c r="O21" s="25" t="s">
        <v>80</v>
      </c>
      <c r="P21" s="26"/>
      <c r="Q21" s="25" t="s">
        <v>80</v>
      </c>
      <c r="R21" s="26"/>
      <c r="S21" s="25" t="s">
        <v>81</v>
      </c>
      <c r="T21" s="26"/>
      <c r="U21" s="24" t="s">
        <v>157</v>
      </c>
      <c r="V21" s="24" t="s">
        <v>158</v>
      </c>
    </row>
    <row r="22" ht="21.75" customHeight="1" spans="1:22">
      <c r="A22" s="21">
        <f t="shared" si="0"/>
        <v>18</v>
      </c>
      <c r="B22" s="22" t="s">
        <v>159</v>
      </c>
      <c r="C22" s="23" t="s">
        <v>87</v>
      </c>
      <c r="D22" s="24" t="s">
        <v>160</v>
      </c>
      <c r="E22" s="23" t="s">
        <v>123</v>
      </c>
      <c r="F22" s="25" t="s">
        <v>31</v>
      </c>
      <c r="G22" s="25" t="s">
        <v>95</v>
      </c>
      <c r="H22" s="26"/>
      <c r="I22" s="27" t="str">
        <f ca="1" t="shared" si="1"/>
        <v/>
      </c>
      <c r="J22" s="25" t="s">
        <v>78</v>
      </c>
      <c r="K22" s="26"/>
      <c r="L22" s="25" t="s">
        <v>79</v>
      </c>
      <c r="M22" s="25" t="s">
        <v>80</v>
      </c>
      <c r="N22" s="26"/>
      <c r="O22" s="25" t="s">
        <v>80</v>
      </c>
      <c r="P22" s="26"/>
      <c r="Q22" s="25" t="s">
        <v>80</v>
      </c>
      <c r="R22" s="26"/>
      <c r="S22" s="25" t="s">
        <v>81</v>
      </c>
      <c r="T22" s="26"/>
      <c r="U22" s="24" t="s">
        <v>157</v>
      </c>
      <c r="V22" s="24" t="s">
        <v>161</v>
      </c>
    </row>
    <row r="23" ht="21.75" customHeight="1" spans="1:22">
      <c r="A23" s="21">
        <f t="shared" si="0"/>
        <v>19</v>
      </c>
      <c r="B23" s="22" t="s">
        <v>162</v>
      </c>
      <c r="C23" s="23" t="s">
        <v>87</v>
      </c>
      <c r="D23" s="24" t="s">
        <v>163</v>
      </c>
      <c r="E23" s="23" t="s">
        <v>127</v>
      </c>
      <c r="F23" s="25" t="s">
        <v>31</v>
      </c>
      <c r="G23" s="25" t="s">
        <v>95</v>
      </c>
      <c r="H23" s="26"/>
      <c r="I23" s="27" t="str">
        <f ca="1" t="shared" si="1"/>
        <v/>
      </c>
      <c r="J23" s="25" t="s">
        <v>78</v>
      </c>
      <c r="K23" s="26"/>
      <c r="L23" s="25" t="s">
        <v>79</v>
      </c>
      <c r="M23" s="25" t="s">
        <v>80</v>
      </c>
      <c r="N23" s="26"/>
      <c r="O23" s="25" t="s">
        <v>80</v>
      </c>
      <c r="P23" s="26"/>
      <c r="Q23" s="25" t="s">
        <v>80</v>
      </c>
      <c r="R23" s="26"/>
      <c r="S23" s="25" t="s">
        <v>81</v>
      </c>
      <c r="T23" s="26"/>
      <c r="U23" s="24" t="s">
        <v>157</v>
      </c>
      <c r="V23" s="24" t="s">
        <v>164</v>
      </c>
    </row>
    <row r="24" ht="21.75" customHeight="1" spans="1:22">
      <c r="A24" s="21">
        <f t="shared" si="0"/>
        <v>20</v>
      </c>
      <c r="B24" s="22" t="s">
        <v>165</v>
      </c>
      <c r="C24" s="23" t="s">
        <v>104</v>
      </c>
      <c r="D24" s="24" t="s">
        <v>166</v>
      </c>
      <c r="E24" s="23" t="s">
        <v>167</v>
      </c>
      <c r="F24" s="25" t="s">
        <v>33</v>
      </c>
      <c r="G24" s="25" t="s">
        <v>113</v>
      </c>
      <c r="H24" s="26"/>
      <c r="I24" s="27" t="str">
        <f ca="1" t="shared" si="1"/>
        <v/>
      </c>
      <c r="J24" s="25" t="s">
        <v>78</v>
      </c>
      <c r="K24" s="26"/>
      <c r="L24" s="25" t="s">
        <v>79</v>
      </c>
      <c r="M24" s="25" t="s">
        <v>80</v>
      </c>
      <c r="N24" s="26"/>
      <c r="O24" s="25" t="s">
        <v>80</v>
      </c>
      <c r="P24" s="26"/>
      <c r="Q24" s="25" t="s">
        <v>80</v>
      </c>
      <c r="R24" s="26"/>
      <c r="S24" s="25" t="s">
        <v>81</v>
      </c>
      <c r="T24" s="26"/>
      <c r="U24" s="24" t="s">
        <v>148</v>
      </c>
      <c r="V24" s="24" t="s">
        <v>168</v>
      </c>
    </row>
    <row r="25" ht="21.75" customHeight="1" spans="1:22">
      <c r="A25" s="21">
        <f t="shared" si="0"/>
        <v>21</v>
      </c>
      <c r="B25" s="22" t="s">
        <v>169</v>
      </c>
      <c r="C25" s="23" t="s">
        <v>104</v>
      </c>
      <c r="D25" s="24" t="s">
        <v>170</v>
      </c>
      <c r="E25" s="23" t="s">
        <v>171</v>
      </c>
      <c r="F25" s="25" t="s">
        <v>41</v>
      </c>
      <c r="G25" s="25" t="s">
        <v>113</v>
      </c>
      <c r="H25" s="26"/>
      <c r="I25" s="27" t="str">
        <f ca="1" t="shared" si="1"/>
        <v/>
      </c>
      <c r="J25" s="25" t="s">
        <v>78</v>
      </c>
      <c r="K25" s="26"/>
      <c r="L25" s="25" t="s">
        <v>79</v>
      </c>
      <c r="M25" s="25" t="s">
        <v>80</v>
      </c>
      <c r="N25" s="26"/>
      <c r="O25" s="25" t="s">
        <v>80</v>
      </c>
      <c r="P25" s="26"/>
      <c r="Q25" s="25" t="s">
        <v>80</v>
      </c>
      <c r="R25" s="26"/>
      <c r="S25" s="25" t="s">
        <v>81</v>
      </c>
      <c r="T25" s="26"/>
      <c r="U25" s="24" t="s">
        <v>172</v>
      </c>
      <c r="V25" s="24" t="s">
        <v>173</v>
      </c>
    </row>
    <row r="26" ht="21.75" customHeight="1" spans="1:22">
      <c r="A26" s="21">
        <f t="shared" si="0"/>
        <v>22</v>
      </c>
      <c r="B26" s="22" t="s">
        <v>174</v>
      </c>
      <c r="C26" s="23" t="s">
        <v>175</v>
      </c>
      <c r="D26" s="24" t="s">
        <v>176</v>
      </c>
      <c r="E26" s="23" t="s">
        <v>127</v>
      </c>
      <c r="F26" s="25" t="s">
        <v>31</v>
      </c>
      <c r="G26" s="25" t="s">
        <v>95</v>
      </c>
      <c r="H26" s="26"/>
      <c r="I26" s="27" t="str">
        <f ca="1" t="shared" si="1"/>
        <v/>
      </c>
      <c r="J26" s="25" t="s">
        <v>78</v>
      </c>
      <c r="K26" s="26"/>
      <c r="L26" s="25" t="s">
        <v>79</v>
      </c>
      <c r="M26" s="25" t="s">
        <v>80</v>
      </c>
      <c r="N26" s="26"/>
      <c r="O26" s="25" t="s">
        <v>80</v>
      </c>
      <c r="P26" s="26"/>
      <c r="Q26" s="25" t="s">
        <v>80</v>
      </c>
      <c r="R26" s="26"/>
      <c r="S26" s="25" t="s">
        <v>81</v>
      </c>
      <c r="T26" s="26"/>
      <c r="U26" s="24" t="s">
        <v>148</v>
      </c>
      <c r="V26" s="24" t="s">
        <v>177</v>
      </c>
    </row>
    <row r="27" ht="21.75" customHeight="1" spans="1:22">
      <c r="A27" s="21">
        <f t="shared" si="0"/>
        <v>23</v>
      </c>
      <c r="B27" s="22" t="s">
        <v>178</v>
      </c>
      <c r="C27" s="23" t="s">
        <v>175</v>
      </c>
      <c r="D27" s="24" t="s">
        <v>179</v>
      </c>
      <c r="E27" s="23" t="s">
        <v>180</v>
      </c>
      <c r="F27" s="25" t="s">
        <v>35</v>
      </c>
      <c r="G27" s="25" t="s">
        <v>113</v>
      </c>
      <c r="H27" s="26"/>
      <c r="I27" s="27" t="str">
        <f ca="1" t="shared" si="1"/>
        <v/>
      </c>
      <c r="J27" s="25" t="s">
        <v>78</v>
      </c>
      <c r="K27" s="26"/>
      <c r="L27" s="25" t="s">
        <v>79</v>
      </c>
      <c r="M27" s="25" t="s">
        <v>80</v>
      </c>
      <c r="N27" s="26"/>
      <c r="O27" s="25" t="s">
        <v>80</v>
      </c>
      <c r="P27" s="26"/>
      <c r="Q27" s="25" t="s">
        <v>80</v>
      </c>
      <c r="R27" s="26"/>
      <c r="S27" s="25" t="s">
        <v>81</v>
      </c>
      <c r="T27" s="26"/>
      <c r="U27" s="24" t="s">
        <v>181</v>
      </c>
      <c r="V27" s="24"/>
    </row>
    <row r="28" ht="21.75" customHeight="1" spans="1:22">
      <c r="A28" s="21">
        <f t="shared" si="0"/>
        <v>24</v>
      </c>
      <c r="B28" s="22" t="s">
        <v>182</v>
      </c>
      <c r="C28" s="23" t="s">
        <v>183</v>
      </c>
      <c r="D28" s="24" t="s">
        <v>184</v>
      </c>
      <c r="E28" s="23" t="s">
        <v>185</v>
      </c>
      <c r="F28" s="25" t="s">
        <v>33</v>
      </c>
      <c r="G28" s="25" t="s">
        <v>113</v>
      </c>
      <c r="H28" s="26"/>
      <c r="I28" s="27" t="str">
        <f ca="1" t="shared" si="1"/>
        <v/>
      </c>
      <c r="J28" s="25" t="s">
        <v>78</v>
      </c>
      <c r="K28" s="26"/>
      <c r="L28" s="25" t="s">
        <v>79</v>
      </c>
      <c r="M28" s="25" t="s">
        <v>80</v>
      </c>
      <c r="N28" s="26"/>
      <c r="O28" s="25" t="s">
        <v>80</v>
      </c>
      <c r="P28" s="26"/>
      <c r="Q28" s="25" t="s">
        <v>80</v>
      </c>
      <c r="R28" s="26"/>
      <c r="S28" s="25" t="s">
        <v>81</v>
      </c>
      <c r="T28" s="26"/>
      <c r="U28" s="24" t="s">
        <v>148</v>
      </c>
      <c r="V28" s="24" t="s">
        <v>186</v>
      </c>
    </row>
    <row r="29" ht="21.75" customHeight="1" spans="1:22">
      <c r="A29" s="21">
        <f t="shared" si="0"/>
        <v>25</v>
      </c>
      <c r="B29" s="22" t="s">
        <v>187</v>
      </c>
      <c r="C29" s="23" t="s">
        <v>183</v>
      </c>
      <c r="D29" s="24" t="s">
        <v>188</v>
      </c>
      <c r="E29" s="23" t="s">
        <v>189</v>
      </c>
      <c r="F29" s="25" t="s">
        <v>41</v>
      </c>
      <c r="G29" s="25" t="s">
        <v>113</v>
      </c>
      <c r="H29" s="26"/>
      <c r="I29" s="27" t="str">
        <f ca="1" t="shared" si="1"/>
        <v/>
      </c>
      <c r="J29" s="25" t="s">
        <v>78</v>
      </c>
      <c r="K29" s="26"/>
      <c r="L29" s="25" t="s">
        <v>79</v>
      </c>
      <c r="M29" s="25" t="s">
        <v>80</v>
      </c>
      <c r="N29" s="26"/>
      <c r="O29" s="25" t="s">
        <v>80</v>
      </c>
      <c r="P29" s="26"/>
      <c r="Q29" s="25" t="s">
        <v>80</v>
      </c>
      <c r="R29" s="26"/>
      <c r="S29" s="25" t="s">
        <v>81</v>
      </c>
      <c r="T29" s="26"/>
      <c r="U29" s="24" t="s">
        <v>172</v>
      </c>
      <c r="V29" s="24" t="s">
        <v>190</v>
      </c>
    </row>
    <row r="30" ht="21.75" customHeight="1" spans="1:22">
      <c r="A30" s="21">
        <f t="shared" si="0"/>
        <v>26</v>
      </c>
      <c r="B30" s="22" t="s">
        <v>191</v>
      </c>
      <c r="C30" s="23" t="s">
        <v>183</v>
      </c>
      <c r="D30" s="24" t="s">
        <v>192</v>
      </c>
      <c r="E30" s="23" t="s">
        <v>193</v>
      </c>
      <c r="F30" s="25" t="s">
        <v>31</v>
      </c>
      <c r="G30" s="25" t="s">
        <v>95</v>
      </c>
      <c r="H30" s="26"/>
      <c r="I30" s="27" t="str">
        <f ca="1" t="shared" si="1"/>
        <v/>
      </c>
      <c r="J30" s="25" t="s">
        <v>78</v>
      </c>
      <c r="K30" s="26"/>
      <c r="L30" s="25" t="s">
        <v>79</v>
      </c>
      <c r="M30" s="25" t="s">
        <v>80</v>
      </c>
      <c r="N30" s="26"/>
      <c r="O30" s="25" t="s">
        <v>80</v>
      </c>
      <c r="P30" s="26"/>
      <c r="Q30" s="25" t="s">
        <v>80</v>
      </c>
      <c r="R30" s="26"/>
      <c r="S30" s="25" t="s">
        <v>81</v>
      </c>
      <c r="T30" s="26"/>
      <c r="U30" s="24" t="s">
        <v>148</v>
      </c>
      <c r="V30" s="24" t="s">
        <v>194</v>
      </c>
    </row>
    <row r="31" ht="21.75" customHeight="1" spans="1:22">
      <c r="A31" s="21">
        <f t="shared" si="0"/>
        <v>27</v>
      </c>
      <c r="B31" s="22" t="s">
        <v>195</v>
      </c>
      <c r="C31" s="23" t="s">
        <v>183</v>
      </c>
      <c r="D31" s="24" t="s">
        <v>196</v>
      </c>
      <c r="E31" s="23" t="s">
        <v>197</v>
      </c>
      <c r="F31" s="25" t="s">
        <v>33</v>
      </c>
      <c r="G31" s="25" t="s">
        <v>113</v>
      </c>
      <c r="H31" s="26"/>
      <c r="I31" s="27" t="str">
        <f ca="1" t="shared" si="1"/>
        <v/>
      </c>
      <c r="J31" s="25" t="s">
        <v>78</v>
      </c>
      <c r="K31" s="26"/>
      <c r="L31" s="25" t="s">
        <v>79</v>
      </c>
      <c r="M31" s="25" t="s">
        <v>80</v>
      </c>
      <c r="N31" s="26"/>
      <c r="O31" s="25" t="s">
        <v>80</v>
      </c>
      <c r="P31" s="26"/>
      <c r="Q31" s="25" t="s">
        <v>80</v>
      </c>
      <c r="R31" s="26"/>
      <c r="S31" s="25" t="s">
        <v>81</v>
      </c>
      <c r="T31" s="26"/>
      <c r="U31" s="24" t="s">
        <v>198</v>
      </c>
      <c r="V31" s="24" t="s">
        <v>199</v>
      </c>
    </row>
    <row r="32" ht="21.75" customHeight="1" spans="1:22">
      <c r="A32" s="21">
        <f t="shared" si="0"/>
        <v>28</v>
      </c>
      <c r="B32" s="22" t="s">
        <v>200</v>
      </c>
      <c r="C32" s="23" t="s">
        <v>201</v>
      </c>
      <c r="D32" s="24" t="s">
        <v>202</v>
      </c>
      <c r="E32" s="23" t="s">
        <v>171</v>
      </c>
      <c r="F32" s="25" t="s">
        <v>37</v>
      </c>
      <c r="G32" s="25" t="s">
        <v>113</v>
      </c>
      <c r="H32" s="26"/>
      <c r="I32" s="27" t="str">
        <f ca="1" t="shared" si="1"/>
        <v/>
      </c>
      <c r="J32" s="25" t="s">
        <v>78</v>
      </c>
      <c r="K32" s="26"/>
      <c r="L32" s="25" t="s">
        <v>79</v>
      </c>
      <c r="M32" s="25" t="s">
        <v>80</v>
      </c>
      <c r="N32" s="26"/>
      <c r="O32" s="25" t="s">
        <v>80</v>
      </c>
      <c r="P32" s="26"/>
      <c r="Q32" s="25" t="s">
        <v>80</v>
      </c>
      <c r="R32" s="26"/>
      <c r="S32" s="25" t="s">
        <v>81</v>
      </c>
      <c r="T32" s="26"/>
      <c r="U32" s="24" t="s">
        <v>203</v>
      </c>
      <c r="V32" s="24" t="s">
        <v>204</v>
      </c>
    </row>
    <row r="33" ht="21.75" customHeight="1" spans="1:22">
      <c r="A33" s="21">
        <f t="shared" si="0"/>
        <v>29</v>
      </c>
      <c r="B33" s="22" t="s">
        <v>205</v>
      </c>
      <c r="C33" s="23" t="s">
        <v>175</v>
      </c>
      <c r="D33" s="24" t="s">
        <v>206</v>
      </c>
      <c r="E33" s="23" t="s">
        <v>207</v>
      </c>
      <c r="F33" s="25" t="s">
        <v>45</v>
      </c>
      <c r="G33" s="25" t="s">
        <v>113</v>
      </c>
      <c r="H33" s="26"/>
      <c r="I33" s="27" t="str">
        <f ca="1" t="shared" si="1"/>
        <v/>
      </c>
      <c r="J33" s="25" t="s">
        <v>78</v>
      </c>
      <c r="K33" s="26"/>
      <c r="L33" s="25" t="s">
        <v>79</v>
      </c>
      <c r="M33" s="25" t="s">
        <v>80</v>
      </c>
      <c r="N33" s="26"/>
      <c r="O33" s="25" t="s">
        <v>80</v>
      </c>
      <c r="P33" s="26"/>
      <c r="Q33" s="25" t="s">
        <v>80</v>
      </c>
      <c r="R33" s="26"/>
      <c r="S33" s="25" t="s">
        <v>81</v>
      </c>
      <c r="T33" s="26"/>
      <c r="U33" s="24" t="s">
        <v>208</v>
      </c>
      <c r="V33" s="24" t="s">
        <v>209</v>
      </c>
    </row>
    <row r="34" ht="21.75" customHeight="1" spans="1:22">
      <c r="A34" s="21">
        <f t="shared" si="0"/>
        <v>30</v>
      </c>
      <c r="B34" s="22" t="s">
        <v>210</v>
      </c>
      <c r="C34" s="23" t="s">
        <v>87</v>
      </c>
      <c r="D34" s="24" t="s">
        <v>211</v>
      </c>
      <c r="E34" s="23" t="s">
        <v>212</v>
      </c>
      <c r="F34" s="25" t="s">
        <v>44</v>
      </c>
      <c r="G34" s="25" t="s">
        <v>113</v>
      </c>
      <c r="H34" s="26"/>
      <c r="I34" s="27" t="str">
        <f ca="1" t="shared" si="1"/>
        <v/>
      </c>
      <c r="J34" s="25" t="s">
        <v>78</v>
      </c>
      <c r="K34" s="26"/>
      <c r="L34" s="25" t="s">
        <v>79</v>
      </c>
      <c r="M34" s="25" t="s">
        <v>80</v>
      </c>
      <c r="N34" s="26"/>
      <c r="O34" s="25" t="s">
        <v>80</v>
      </c>
      <c r="P34" s="26"/>
      <c r="Q34" s="25" t="s">
        <v>80</v>
      </c>
      <c r="R34" s="26"/>
      <c r="S34" s="25" t="s">
        <v>81</v>
      </c>
      <c r="T34" s="26"/>
      <c r="U34" s="24" t="s">
        <v>213</v>
      </c>
      <c r="V34" s="24" t="s">
        <v>44</v>
      </c>
    </row>
    <row r="35" ht="21.75" customHeight="1" spans="1:22">
      <c r="A35" s="21" t="str">
        <f t="shared" si="0"/>
        <v/>
      </c>
      <c r="B35" s="22"/>
      <c r="C35" s="23"/>
      <c r="D35" s="24"/>
      <c r="E35" s="23"/>
      <c r="F35" s="25"/>
      <c r="G35" s="25"/>
      <c r="H35" s="26"/>
      <c r="I35" s="27" t="str">
        <f ca="1" t="shared" si="1"/>
        <v/>
      </c>
      <c r="J35" s="25"/>
      <c r="K35" s="26"/>
      <c r="L35" s="25"/>
      <c r="M35" s="25"/>
      <c r="N35" s="26"/>
      <c r="O35" s="25"/>
      <c r="P35" s="26"/>
      <c r="Q35" s="25"/>
      <c r="R35" s="26"/>
      <c r="S35" s="25"/>
      <c r="T35" s="26"/>
      <c r="U35" s="24"/>
      <c r="V35" s="24"/>
    </row>
    <row r="36" ht="21.75" customHeight="1" spans="1:22">
      <c r="A36" s="21" t="str">
        <f t="shared" si="0"/>
        <v/>
      </c>
      <c r="B36" s="22"/>
      <c r="C36" s="23"/>
      <c r="D36" s="24"/>
      <c r="E36" s="23"/>
      <c r="F36" s="25"/>
      <c r="G36" s="25"/>
      <c r="H36" s="26"/>
      <c r="I36" s="27" t="str">
        <f ca="1" t="shared" si="1"/>
        <v/>
      </c>
      <c r="J36" s="25"/>
      <c r="K36" s="26"/>
      <c r="L36" s="25"/>
      <c r="M36" s="25"/>
      <c r="N36" s="26"/>
      <c r="O36" s="25"/>
      <c r="P36" s="26"/>
      <c r="Q36" s="25"/>
      <c r="R36" s="26"/>
      <c r="S36" s="25"/>
      <c r="T36" s="26"/>
      <c r="U36" s="24"/>
      <c r="V36" s="24"/>
    </row>
    <row r="37" ht="21.75" customHeight="1" spans="1:22">
      <c r="A37" s="21" t="str">
        <f t="shared" si="0"/>
        <v/>
      </c>
      <c r="B37" s="22"/>
      <c r="C37" s="23"/>
      <c r="D37" s="24"/>
      <c r="E37" s="23"/>
      <c r="F37" s="25"/>
      <c r="G37" s="25"/>
      <c r="H37" s="26"/>
      <c r="I37" s="27" t="str">
        <f ca="1" t="shared" si="1"/>
        <v/>
      </c>
      <c r="J37" s="25"/>
      <c r="K37" s="26"/>
      <c r="L37" s="25"/>
      <c r="M37" s="25"/>
      <c r="N37" s="26"/>
      <c r="O37" s="25"/>
      <c r="P37" s="26"/>
      <c r="Q37" s="25"/>
      <c r="R37" s="26"/>
      <c r="S37" s="25"/>
      <c r="T37" s="26"/>
      <c r="U37" s="24"/>
      <c r="V37" s="24"/>
    </row>
    <row r="38" ht="21.75" customHeight="1" spans="1:22">
      <c r="A38" s="21" t="str">
        <f t="shared" si="0"/>
        <v/>
      </c>
      <c r="B38" s="22"/>
      <c r="C38" s="23"/>
      <c r="D38" s="24"/>
      <c r="E38" s="23"/>
      <c r="F38" s="25"/>
      <c r="G38" s="25"/>
      <c r="H38" s="26"/>
      <c r="I38" s="27" t="str">
        <f ca="1" t="shared" si="1"/>
        <v/>
      </c>
      <c r="J38" s="25"/>
      <c r="K38" s="26"/>
      <c r="L38" s="25"/>
      <c r="M38" s="25"/>
      <c r="N38" s="26"/>
      <c r="O38" s="25"/>
      <c r="P38" s="26"/>
      <c r="Q38" s="25"/>
      <c r="R38" s="26"/>
      <c r="S38" s="25"/>
      <c r="T38" s="26"/>
      <c r="U38" s="24"/>
      <c r="V38" s="24"/>
    </row>
    <row r="39" ht="21.75" customHeight="1" spans="1:22">
      <c r="A39" s="21" t="str">
        <f t="shared" si="0"/>
        <v/>
      </c>
      <c r="B39" s="22"/>
      <c r="C39" s="23"/>
      <c r="D39" s="24"/>
      <c r="E39" s="23"/>
      <c r="F39" s="25"/>
      <c r="G39" s="25"/>
      <c r="H39" s="26"/>
      <c r="I39" s="27" t="str">
        <f ca="1" t="shared" si="1"/>
        <v/>
      </c>
      <c r="J39" s="25"/>
      <c r="K39" s="26"/>
      <c r="L39" s="25"/>
      <c r="M39" s="25"/>
      <c r="N39" s="26"/>
      <c r="O39" s="25"/>
      <c r="P39" s="26"/>
      <c r="Q39" s="25"/>
      <c r="R39" s="26"/>
      <c r="S39" s="25"/>
      <c r="T39" s="26"/>
      <c r="U39" s="24"/>
      <c r="V39" s="24"/>
    </row>
    <row r="40" ht="21.75" customHeight="1" spans="1:22">
      <c r="A40" s="21" t="str">
        <f t="shared" si="0"/>
        <v/>
      </c>
      <c r="B40" s="22"/>
      <c r="C40" s="23"/>
      <c r="D40" s="24"/>
      <c r="E40" s="23"/>
      <c r="F40" s="25"/>
      <c r="G40" s="25"/>
      <c r="H40" s="26"/>
      <c r="I40" s="27" t="str">
        <f ca="1" t="shared" si="1"/>
        <v/>
      </c>
      <c r="J40" s="25"/>
      <c r="K40" s="26"/>
      <c r="L40" s="25"/>
      <c r="M40" s="25"/>
      <c r="N40" s="26"/>
      <c r="O40" s="25"/>
      <c r="P40" s="26"/>
      <c r="Q40" s="25"/>
      <c r="R40" s="26"/>
      <c r="S40" s="25"/>
      <c r="T40" s="26"/>
      <c r="U40" s="24"/>
      <c r="V40" s="24"/>
    </row>
    <row r="41" ht="21.75" customHeight="1" spans="1:22">
      <c r="A41" s="21" t="str">
        <f t="shared" si="0"/>
        <v/>
      </c>
      <c r="B41" s="22"/>
      <c r="C41" s="23"/>
      <c r="D41" s="24"/>
      <c r="E41" s="23"/>
      <c r="F41" s="25"/>
      <c r="G41" s="25"/>
      <c r="H41" s="26"/>
      <c r="I41" s="27" t="str">
        <f ca="1" t="shared" si="1"/>
        <v/>
      </c>
      <c r="J41" s="25"/>
      <c r="K41" s="26"/>
      <c r="L41" s="25"/>
      <c r="M41" s="25"/>
      <c r="N41" s="26"/>
      <c r="O41" s="25"/>
      <c r="P41" s="26"/>
      <c r="Q41" s="25"/>
      <c r="R41" s="26"/>
      <c r="S41" s="25"/>
      <c r="T41" s="26"/>
      <c r="U41" s="24"/>
      <c r="V41" s="24"/>
    </row>
    <row r="42" ht="21.75" customHeight="1" spans="1:22">
      <c r="A42" s="21" t="str">
        <f t="shared" si="0"/>
        <v/>
      </c>
      <c r="B42" s="22"/>
      <c r="C42" s="23"/>
      <c r="D42" s="24"/>
      <c r="E42" s="23"/>
      <c r="F42" s="25"/>
      <c r="G42" s="25"/>
      <c r="H42" s="26"/>
      <c r="I42" s="27" t="str">
        <f ca="1" t="shared" si="1"/>
        <v/>
      </c>
      <c r="J42" s="25"/>
      <c r="K42" s="26"/>
      <c r="L42" s="25"/>
      <c r="M42" s="25"/>
      <c r="N42" s="26"/>
      <c r="O42" s="25"/>
      <c r="P42" s="26"/>
      <c r="Q42" s="25"/>
      <c r="R42" s="26"/>
      <c r="S42" s="25"/>
      <c r="T42" s="26"/>
      <c r="U42" s="24"/>
      <c r="V42" s="24"/>
    </row>
    <row r="43" ht="21.75" customHeight="1" spans="1:22">
      <c r="A43" s="21" t="str">
        <f t="shared" si="0"/>
        <v/>
      </c>
      <c r="B43" s="22"/>
      <c r="C43" s="23"/>
      <c r="D43" s="24"/>
      <c r="E43" s="23"/>
      <c r="F43" s="25"/>
      <c r="G43" s="25"/>
      <c r="H43" s="26"/>
      <c r="I43" s="27" t="str">
        <f ca="1" t="shared" si="1"/>
        <v/>
      </c>
      <c r="J43" s="25"/>
      <c r="K43" s="26"/>
      <c r="L43" s="25"/>
      <c r="M43" s="25"/>
      <c r="N43" s="26"/>
      <c r="O43" s="25"/>
      <c r="P43" s="26"/>
      <c r="Q43" s="25"/>
      <c r="R43" s="26"/>
      <c r="S43" s="25"/>
      <c r="T43" s="26"/>
      <c r="U43" s="24"/>
      <c r="V43" s="24"/>
    </row>
    <row r="44" ht="21.75" customHeight="1" spans="1:22">
      <c r="A44" s="21" t="str">
        <f t="shared" si="0"/>
        <v/>
      </c>
      <c r="B44" s="22"/>
      <c r="C44" s="23"/>
      <c r="D44" s="24"/>
      <c r="E44" s="23"/>
      <c r="F44" s="25"/>
      <c r="G44" s="25"/>
      <c r="H44" s="26"/>
      <c r="I44" s="27" t="str">
        <f ca="1" t="shared" si="1"/>
        <v/>
      </c>
      <c r="J44" s="25"/>
      <c r="K44" s="26"/>
      <c r="L44" s="25"/>
      <c r="M44" s="25"/>
      <c r="N44" s="26"/>
      <c r="O44" s="25"/>
      <c r="P44" s="26"/>
      <c r="Q44" s="25"/>
      <c r="R44" s="26"/>
      <c r="S44" s="25"/>
      <c r="T44" s="26"/>
      <c r="U44" s="24"/>
      <c r="V44" s="24"/>
    </row>
    <row r="45" ht="21.75" customHeight="1" spans="1:22">
      <c r="A45" s="21" t="str">
        <f t="shared" si="0"/>
        <v/>
      </c>
      <c r="B45" s="22"/>
      <c r="C45" s="23"/>
      <c r="D45" s="24"/>
      <c r="E45" s="23"/>
      <c r="F45" s="25"/>
      <c r="G45" s="25"/>
      <c r="H45" s="26"/>
      <c r="I45" s="27" t="str">
        <f ca="1" t="shared" si="1"/>
        <v/>
      </c>
      <c r="J45" s="25"/>
      <c r="K45" s="26"/>
      <c r="L45" s="25"/>
      <c r="M45" s="25"/>
      <c r="N45" s="26"/>
      <c r="O45" s="25"/>
      <c r="P45" s="26"/>
      <c r="Q45" s="25"/>
      <c r="R45" s="26"/>
      <c r="S45" s="25"/>
      <c r="T45" s="26"/>
      <c r="U45" s="24"/>
      <c r="V45" s="24"/>
    </row>
    <row r="46" ht="21.75" customHeight="1" spans="1:22">
      <c r="A46" s="21" t="str">
        <f t="shared" si="0"/>
        <v/>
      </c>
      <c r="B46" s="22"/>
      <c r="C46" s="23"/>
      <c r="D46" s="24"/>
      <c r="E46" s="23"/>
      <c r="F46" s="25"/>
      <c r="G46" s="25"/>
      <c r="H46" s="26"/>
      <c r="I46" s="27" t="str">
        <f ca="1" t="shared" si="1"/>
        <v/>
      </c>
      <c r="J46" s="25"/>
      <c r="K46" s="26"/>
      <c r="L46" s="25"/>
      <c r="M46" s="25"/>
      <c r="N46" s="26"/>
      <c r="O46" s="25"/>
      <c r="P46" s="26"/>
      <c r="Q46" s="25"/>
      <c r="R46" s="26"/>
      <c r="S46" s="25"/>
      <c r="T46" s="26"/>
      <c r="U46" s="24"/>
      <c r="V46" s="24"/>
    </row>
    <row r="47" ht="21.75" customHeight="1" spans="1:22">
      <c r="A47" s="21" t="str">
        <f t="shared" si="0"/>
        <v/>
      </c>
      <c r="B47" s="22"/>
      <c r="C47" s="23"/>
      <c r="D47" s="24"/>
      <c r="E47" s="23"/>
      <c r="F47" s="25"/>
      <c r="G47" s="25"/>
      <c r="H47" s="26"/>
      <c r="I47" s="27" t="str">
        <f ca="1" t="shared" si="1"/>
        <v/>
      </c>
      <c r="J47" s="25"/>
      <c r="K47" s="26"/>
      <c r="L47" s="25"/>
      <c r="M47" s="25"/>
      <c r="N47" s="26"/>
      <c r="O47" s="25"/>
      <c r="P47" s="26"/>
      <c r="Q47" s="25"/>
      <c r="R47" s="26"/>
      <c r="S47" s="25"/>
      <c r="T47" s="26"/>
      <c r="U47" s="24"/>
      <c r="V47" s="24"/>
    </row>
    <row r="48" ht="21.75" customHeight="1" spans="1:22">
      <c r="A48" s="21" t="str">
        <f t="shared" si="0"/>
        <v/>
      </c>
      <c r="B48" s="22"/>
      <c r="C48" s="23"/>
      <c r="D48" s="24"/>
      <c r="E48" s="23"/>
      <c r="F48" s="25"/>
      <c r="G48" s="25"/>
      <c r="H48" s="26"/>
      <c r="I48" s="27" t="str">
        <f ca="1" t="shared" si="1"/>
        <v/>
      </c>
      <c r="J48" s="25"/>
      <c r="K48" s="26"/>
      <c r="L48" s="25"/>
      <c r="M48" s="25"/>
      <c r="N48" s="26"/>
      <c r="O48" s="25"/>
      <c r="P48" s="26"/>
      <c r="Q48" s="25"/>
      <c r="R48" s="26"/>
      <c r="S48" s="25"/>
      <c r="T48" s="26"/>
      <c r="U48" s="24"/>
      <c r="V48" s="24"/>
    </row>
    <row r="49" ht="21.75" customHeight="1" spans="1:22">
      <c r="A49" s="21" t="str">
        <f t="shared" si="0"/>
        <v/>
      </c>
      <c r="B49" s="22"/>
      <c r="C49" s="23"/>
      <c r="D49" s="24"/>
      <c r="E49" s="23"/>
      <c r="F49" s="25"/>
      <c r="G49" s="25"/>
      <c r="H49" s="26"/>
      <c r="I49" s="27" t="str">
        <f ca="1" t="shared" si="1"/>
        <v/>
      </c>
      <c r="J49" s="25"/>
      <c r="K49" s="26"/>
      <c r="L49" s="25"/>
      <c r="M49" s="25"/>
      <c r="N49" s="26"/>
      <c r="O49" s="25"/>
      <c r="P49" s="26"/>
      <c r="Q49" s="25"/>
      <c r="R49" s="26"/>
      <c r="S49" s="25"/>
      <c r="T49" s="26"/>
      <c r="U49" s="24"/>
      <c r="V49" s="24"/>
    </row>
    <row r="50" ht="21.75" customHeight="1" spans="1:22">
      <c r="A50" s="21" t="str">
        <f t="shared" si="0"/>
        <v/>
      </c>
      <c r="B50" s="22"/>
      <c r="C50" s="23"/>
      <c r="D50" s="24"/>
      <c r="E50" s="23"/>
      <c r="F50" s="25"/>
      <c r="G50" s="25"/>
      <c r="H50" s="26"/>
      <c r="I50" s="27" t="str">
        <f ca="1" t="shared" si="1"/>
        <v/>
      </c>
      <c r="J50" s="25"/>
      <c r="K50" s="26"/>
      <c r="L50" s="25"/>
      <c r="M50" s="25"/>
      <c r="N50" s="26"/>
      <c r="O50" s="25"/>
      <c r="P50" s="26"/>
      <c r="Q50" s="25"/>
      <c r="R50" s="26"/>
      <c r="S50" s="25"/>
      <c r="T50" s="26"/>
      <c r="U50" s="24"/>
      <c r="V50" s="24"/>
    </row>
    <row r="51" ht="21.75" customHeight="1" spans="1:22">
      <c r="A51" s="21" t="str">
        <f t="shared" si="0"/>
        <v/>
      </c>
      <c r="B51" s="22"/>
      <c r="C51" s="23"/>
      <c r="D51" s="24"/>
      <c r="E51" s="23"/>
      <c r="F51" s="25"/>
      <c r="G51" s="25"/>
      <c r="H51" s="26"/>
      <c r="I51" s="27" t="str">
        <f ca="1" t="shared" si="1"/>
        <v/>
      </c>
      <c r="J51" s="25"/>
      <c r="K51" s="26"/>
      <c r="L51" s="25"/>
      <c r="M51" s="25"/>
      <c r="N51" s="26"/>
      <c r="O51" s="25"/>
      <c r="P51" s="26"/>
      <c r="Q51" s="25"/>
      <c r="R51" s="26"/>
      <c r="S51" s="25"/>
      <c r="T51" s="26"/>
      <c r="U51" s="24"/>
      <c r="V51" s="24"/>
    </row>
    <row r="52" ht="21.75" customHeight="1" spans="1:22">
      <c r="A52" s="21" t="str">
        <f t="shared" si="0"/>
        <v/>
      </c>
      <c r="B52" s="22"/>
      <c r="C52" s="23"/>
      <c r="D52" s="24"/>
      <c r="E52" s="23"/>
      <c r="F52" s="25"/>
      <c r="G52" s="25"/>
      <c r="H52" s="26"/>
      <c r="I52" s="27" t="str">
        <f ca="1" t="shared" si="1"/>
        <v/>
      </c>
      <c r="J52" s="25"/>
      <c r="K52" s="26"/>
      <c r="L52" s="25"/>
      <c r="M52" s="25"/>
      <c r="N52" s="26"/>
      <c r="O52" s="25"/>
      <c r="P52" s="26"/>
      <c r="Q52" s="25"/>
      <c r="R52" s="26"/>
      <c r="S52" s="25"/>
      <c r="T52" s="26"/>
      <c r="U52" s="24"/>
      <c r="V52" s="24"/>
    </row>
    <row r="53" ht="21.75" customHeight="1" spans="1:22">
      <c r="A53" s="21" t="str">
        <f t="shared" si="0"/>
        <v/>
      </c>
      <c r="B53" s="22"/>
      <c r="C53" s="23"/>
      <c r="D53" s="24"/>
      <c r="E53" s="23"/>
      <c r="F53" s="25"/>
      <c r="G53" s="25"/>
      <c r="H53" s="26"/>
      <c r="I53" s="27" t="str">
        <f ca="1" t="shared" si="1"/>
        <v/>
      </c>
      <c r="J53" s="25"/>
      <c r="K53" s="26"/>
      <c r="L53" s="25"/>
      <c r="M53" s="25"/>
      <c r="N53" s="26"/>
      <c r="O53" s="25"/>
      <c r="P53" s="26"/>
      <c r="Q53" s="25"/>
      <c r="R53" s="26"/>
      <c r="S53" s="25"/>
      <c r="T53" s="26"/>
      <c r="U53" s="24"/>
      <c r="V53" s="24"/>
    </row>
    <row r="54" ht="21.75" customHeight="1" spans="1:22">
      <c r="A54" s="21" t="str">
        <f t="shared" si="0"/>
        <v/>
      </c>
      <c r="B54" s="22"/>
      <c r="C54" s="23"/>
      <c r="D54" s="24"/>
      <c r="E54" s="23"/>
      <c r="F54" s="25"/>
      <c r="G54" s="25"/>
      <c r="H54" s="26"/>
      <c r="I54" s="27" t="str">
        <f ca="1" t="shared" si="1"/>
        <v/>
      </c>
      <c r="J54" s="25"/>
      <c r="K54" s="26"/>
      <c r="L54" s="25"/>
      <c r="M54" s="25"/>
      <c r="N54" s="26"/>
      <c r="O54" s="25"/>
      <c r="P54" s="26"/>
      <c r="Q54" s="25"/>
      <c r="R54" s="26"/>
      <c r="S54" s="25"/>
      <c r="T54" s="26"/>
      <c r="U54" s="24"/>
      <c r="V54" s="24"/>
    </row>
    <row r="55" ht="21.75" customHeight="1" spans="1:22">
      <c r="A55" s="21" t="str">
        <f t="shared" si="0"/>
        <v/>
      </c>
      <c r="B55" s="22"/>
      <c r="C55" s="23"/>
      <c r="D55" s="24"/>
      <c r="E55" s="23"/>
      <c r="F55" s="25"/>
      <c r="G55" s="25"/>
      <c r="H55" s="26"/>
      <c r="I55" s="27" t="str">
        <f ca="1" t="shared" si="1"/>
        <v/>
      </c>
      <c r="J55" s="25"/>
      <c r="K55" s="26"/>
      <c r="L55" s="25"/>
      <c r="M55" s="25"/>
      <c r="N55" s="26"/>
      <c r="O55" s="25"/>
      <c r="P55" s="26"/>
      <c r="Q55" s="25"/>
      <c r="R55" s="26"/>
      <c r="S55" s="25"/>
      <c r="T55" s="26"/>
      <c r="U55" s="24"/>
      <c r="V55" s="24"/>
    </row>
    <row r="56" ht="21.75" customHeight="1" spans="1:22">
      <c r="A56" s="21" t="str">
        <f t="shared" si="0"/>
        <v/>
      </c>
      <c r="B56" s="22"/>
      <c r="C56" s="23"/>
      <c r="D56" s="24"/>
      <c r="E56" s="23"/>
      <c r="F56" s="25"/>
      <c r="G56" s="25"/>
      <c r="H56" s="26"/>
      <c r="I56" s="27" t="str">
        <f ca="1" t="shared" si="1"/>
        <v/>
      </c>
      <c r="J56" s="25"/>
      <c r="K56" s="26"/>
      <c r="L56" s="25"/>
      <c r="M56" s="25"/>
      <c r="N56" s="26"/>
      <c r="O56" s="25"/>
      <c r="P56" s="26"/>
      <c r="Q56" s="25"/>
      <c r="R56" s="26"/>
      <c r="S56" s="25"/>
      <c r="T56" s="26"/>
      <c r="U56" s="24"/>
      <c r="V56" s="24"/>
    </row>
    <row r="57" ht="21.75" customHeight="1" spans="1:22">
      <c r="A57" s="21" t="str">
        <f t="shared" si="0"/>
        <v/>
      </c>
      <c r="B57" s="22"/>
      <c r="C57" s="23"/>
      <c r="D57" s="24"/>
      <c r="E57" s="23"/>
      <c r="F57" s="25"/>
      <c r="G57" s="25"/>
      <c r="H57" s="26"/>
      <c r="I57" s="27" t="str">
        <f ca="1" t="shared" si="1"/>
        <v/>
      </c>
      <c r="J57" s="25"/>
      <c r="K57" s="26"/>
      <c r="L57" s="25"/>
      <c r="M57" s="25"/>
      <c r="N57" s="26"/>
      <c r="O57" s="25"/>
      <c r="P57" s="26"/>
      <c r="Q57" s="25"/>
      <c r="R57" s="26"/>
      <c r="S57" s="25"/>
      <c r="T57" s="26"/>
      <c r="U57" s="24"/>
      <c r="V57" s="24"/>
    </row>
    <row r="58" ht="21.75" customHeight="1" spans="1:22">
      <c r="A58" s="21" t="str">
        <f t="shared" si="0"/>
        <v/>
      </c>
      <c r="B58" s="22"/>
      <c r="C58" s="23"/>
      <c r="D58" s="24"/>
      <c r="E58" s="23"/>
      <c r="F58" s="25"/>
      <c r="G58" s="25"/>
      <c r="H58" s="26"/>
      <c r="I58" s="27" t="str">
        <f ca="1" t="shared" si="1"/>
        <v/>
      </c>
      <c r="J58" s="25"/>
      <c r="K58" s="26"/>
      <c r="L58" s="25"/>
      <c r="M58" s="25"/>
      <c r="N58" s="26"/>
      <c r="O58" s="25"/>
      <c r="P58" s="26"/>
      <c r="Q58" s="25"/>
      <c r="R58" s="26"/>
      <c r="S58" s="25"/>
      <c r="T58" s="26"/>
      <c r="U58" s="24"/>
      <c r="V58" s="24"/>
    </row>
    <row r="59" ht="21.75" customHeight="1" spans="1:22">
      <c r="A59" s="21" t="str">
        <f t="shared" si="0"/>
        <v/>
      </c>
      <c r="B59" s="22"/>
      <c r="C59" s="23"/>
      <c r="D59" s="24"/>
      <c r="E59" s="23"/>
      <c r="F59" s="25"/>
      <c r="G59" s="25"/>
      <c r="H59" s="26"/>
      <c r="I59" s="27" t="str">
        <f ca="1" t="shared" si="1"/>
        <v/>
      </c>
      <c r="J59" s="25"/>
      <c r="K59" s="26"/>
      <c r="L59" s="25"/>
      <c r="M59" s="25"/>
      <c r="N59" s="26"/>
      <c r="O59" s="25"/>
      <c r="P59" s="26"/>
      <c r="Q59" s="25"/>
      <c r="R59" s="26"/>
      <c r="S59" s="25"/>
      <c r="T59" s="26"/>
      <c r="U59" s="24"/>
      <c r="V59" s="24"/>
    </row>
    <row r="60" ht="21.75" customHeight="1" spans="1:22">
      <c r="A60" s="21" t="str">
        <f t="shared" si="0"/>
        <v/>
      </c>
      <c r="B60" s="22"/>
      <c r="C60" s="23"/>
      <c r="D60" s="24"/>
      <c r="E60" s="23"/>
      <c r="F60" s="25"/>
      <c r="G60" s="25"/>
      <c r="H60" s="26"/>
      <c r="I60" s="27" t="str">
        <f ca="1" t="shared" si="1"/>
        <v/>
      </c>
      <c r="J60" s="25"/>
      <c r="K60" s="26"/>
      <c r="L60" s="25"/>
      <c r="M60" s="25"/>
      <c r="N60" s="26"/>
      <c r="O60" s="25"/>
      <c r="P60" s="26"/>
      <c r="Q60" s="25"/>
      <c r="R60" s="26"/>
      <c r="S60" s="25"/>
      <c r="T60" s="26"/>
      <c r="U60" s="24"/>
      <c r="V60" s="24"/>
    </row>
    <row r="61" ht="21.75" customHeight="1" spans="1:22">
      <c r="A61" s="21" t="str">
        <f t="shared" si="0"/>
        <v/>
      </c>
      <c r="B61" s="22"/>
      <c r="C61" s="23"/>
      <c r="D61" s="24"/>
      <c r="E61" s="23"/>
      <c r="F61" s="25"/>
      <c r="G61" s="25"/>
      <c r="H61" s="26"/>
      <c r="I61" s="27" t="str">
        <f ca="1" t="shared" si="1"/>
        <v/>
      </c>
      <c r="J61" s="25"/>
      <c r="K61" s="26"/>
      <c r="L61" s="25"/>
      <c r="M61" s="25"/>
      <c r="N61" s="26"/>
      <c r="O61" s="25"/>
      <c r="P61" s="26"/>
      <c r="Q61" s="25"/>
      <c r="R61" s="26"/>
      <c r="S61" s="25"/>
      <c r="T61" s="26"/>
      <c r="U61" s="24"/>
      <c r="V61" s="24"/>
    </row>
    <row r="62" ht="21.75" customHeight="1" spans="1:22">
      <c r="A62" s="21" t="str">
        <f t="shared" si="0"/>
        <v/>
      </c>
      <c r="B62" s="22"/>
      <c r="C62" s="23"/>
      <c r="D62" s="24"/>
      <c r="E62" s="23"/>
      <c r="F62" s="25"/>
      <c r="G62" s="25"/>
      <c r="H62" s="26"/>
      <c r="I62" s="27" t="str">
        <f ca="1" t="shared" si="1"/>
        <v/>
      </c>
      <c r="J62" s="25"/>
      <c r="K62" s="26"/>
      <c r="L62" s="25"/>
      <c r="M62" s="25"/>
      <c r="N62" s="26"/>
      <c r="O62" s="25"/>
      <c r="P62" s="26"/>
      <c r="Q62" s="25"/>
      <c r="R62" s="26"/>
      <c r="S62" s="25"/>
      <c r="T62" s="26"/>
      <c r="U62" s="24"/>
      <c r="V62" s="24"/>
    </row>
    <row r="63" ht="21.75" customHeight="1" spans="1:22">
      <c r="A63" s="21" t="str">
        <f t="shared" si="0"/>
        <v/>
      </c>
      <c r="B63" s="22"/>
      <c r="C63" s="23"/>
      <c r="D63" s="24"/>
      <c r="E63" s="23"/>
      <c r="F63" s="25"/>
      <c r="G63" s="25"/>
      <c r="H63" s="26"/>
      <c r="I63" s="27" t="str">
        <f ca="1" t="shared" si="1"/>
        <v/>
      </c>
      <c r="J63" s="25"/>
      <c r="K63" s="26"/>
      <c r="L63" s="25"/>
      <c r="M63" s="25"/>
      <c r="N63" s="26"/>
      <c r="O63" s="25"/>
      <c r="P63" s="26"/>
      <c r="Q63" s="25"/>
      <c r="R63" s="26"/>
      <c r="S63" s="25"/>
      <c r="T63" s="26"/>
      <c r="U63" s="24"/>
      <c r="V63" s="24"/>
    </row>
    <row r="64" ht="21.75" customHeight="1" spans="1:22">
      <c r="A64" s="21" t="str">
        <f t="shared" si="0"/>
        <v/>
      </c>
      <c r="B64" s="22"/>
      <c r="C64" s="23"/>
      <c r="D64" s="24"/>
      <c r="E64" s="23"/>
      <c r="F64" s="25"/>
      <c r="G64" s="25"/>
      <c r="H64" s="26"/>
      <c r="I64" s="27" t="str">
        <f ca="1" t="shared" si="1"/>
        <v/>
      </c>
      <c r="J64" s="25"/>
      <c r="K64" s="26"/>
      <c r="L64" s="25"/>
      <c r="M64" s="25"/>
      <c r="N64" s="26"/>
      <c r="O64" s="25"/>
      <c r="P64" s="26"/>
      <c r="Q64" s="25"/>
      <c r="R64" s="26"/>
      <c r="S64" s="25"/>
      <c r="T64" s="26"/>
      <c r="U64" s="24"/>
      <c r="V64" s="24"/>
    </row>
    <row r="65" ht="21.75" customHeight="1" spans="1:22">
      <c r="A65" s="21" t="str">
        <f t="shared" si="0"/>
        <v/>
      </c>
      <c r="B65" s="22"/>
      <c r="C65" s="23"/>
      <c r="D65" s="24"/>
      <c r="E65" s="23"/>
      <c r="F65" s="25"/>
      <c r="G65" s="25"/>
      <c r="H65" s="26"/>
      <c r="I65" s="27" t="str">
        <f ca="1" t="shared" si="1"/>
        <v/>
      </c>
      <c r="J65" s="25"/>
      <c r="K65" s="26"/>
      <c r="L65" s="25"/>
      <c r="M65" s="25"/>
      <c r="N65" s="26"/>
      <c r="O65" s="25"/>
      <c r="P65" s="26"/>
      <c r="Q65" s="25"/>
      <c r="R65" s="26"/>
      <c r="S65" s="25"/>
      <c r="T65" s="26"/>
      <c r="U65" s="24"/>
      <c r="V65" s="24"/>
    </row>
    <row r="66" ht="21.75" customHeight="1" spans="1:22">
      <c r="A66" s="21" t="str">
        <f t="shared" si="0"/>
        <v/>
      </c>
      <c r="B66" s="22"/>
      <c r="C66" s="23"/>
      <c r="D66" s="24"/>
      <c r="E66" s="23"/>
      <c r="F66" s="25"/>
      <c r="G66" s="25"/>
      <c r="H66" s="26"/>
      <c r="I66" s="27" t="str">
        <f ca="1" t="shared" si="1"/>
        <v/>
      </c>
      <c r="J66" s="25"/>
      <c r="K66" s="26"/>
      <c r="L66" s="25"/>
      <c r="M66" s="25"/>
      <c r="N66" s="26"/>
      <c r="O66" s="25"/>
      <c r="P66" s="26"/>
      <c r="Q66" s="25"/>
      <c r="R66" s="26"/>
      <c r="S66" s="25"/>
      <c r="T66" s="26"/>
      <c r="U66" s="24"/>
      <c r="V66" s="24"/>
    </row>
    <row r="67" ht="21.75" customHeight="1" spans="1:22">
      <c r="A67" s="21" t="str">
        <f t="shared" si="0"/>
        <v/>
      </c>
      <c r="B67" s="22"/>
      <c r="C67" s="23"/>
      <c r="D67" s="24"/>
      <c r="E67" s="23"/>
      <c r="F67" s="25"/>
      <c r="G67" s="25"/>
      <c r="H67" s="26"/>
      <c r="I67" s="27" t="str">
        <f ca="1" t="shared" si="1"/>
        <v/>
      </c>
      <c r="J67" s="25"/>
      <c r="K67" s="26"/>
      <c r="L67" s="25"/>
      <c r="M67" s="25"/>
      <c r="N67" s="26"/>
      <c r="O67" s="25"/>
      <c r="P67" s="26"/>
      <c r="Q67" s="25"/>
      <c r="R67" s="26"/>
      <c r="S67" s="25"/>
      <c r="T67" s="26"/>
      <c r="U67" s="24"/>
      <c r="V67" s="24"/>
    </row>
    <row r="68" ht="21.75" customHeight="1" spans="1:22">
      <c r="A68" s="21" t="str">
        <f t="shared" si="0"/>
        <v/>
      </c>
      <c r="B68" s="22"/>
      <c r="C68" s="23"/>
      <c r="D68" s="24"/>
      <c r="E68" s="23"/>
      <c r="F68" s="25"/>
      <c r="G68" s="25"/>
      <c r="H68" s="26"/>
      <c r="I68" s="27" t="str">
        <f ca="1" t="shared" si="1"/>
        <v/>
      </c>
      <c r="J68" s="25"/>
      <c r="K68" s="26"/>
      <c r="L68" s="25"/>
      <c r="M68" s="25"/>
      <c r="N68" s="26"/>
      <c r="O68" s="25"/>
      <c r="P68" s="26"/>
      <c r="Q68" s="25"/>
      <c r="R68" s="26"/>
      <c r="S68" s="25"/>
      <c r="T68" s="26"/>
      <c r="U68" s="24"/>
      <c r="V68" s="24"/>
    </row>
    <row r="69" ht="21.75" customHeight="1" spans="1:22">
      <c r="A69" s="21" t="str">
        <f t="shared" ref="A69:A104" si="2">IF(B69="","",ROW()-4)</f>
        <v/>
      </c>
      <c r="B69" s="22"/>
      <c r="C69" s="23"/>
      <c r="D69" s="24"/>
      <c r="E69" s="23"/>
      <c r="F69" s="25"/>
      <c r="G69" s="25"/>
      <c r="H69" s="26"/>
      <c r="I69" s="27" t="str">
        <f ca="1" t="shared" ref="I69:I104" si="3">IF(OR(H69="",J69="Yes"),"",H69-TODAY())</f>
        <v/>
      </c>
      <c r="J69" s="25"/>
      <c r="K69" s="26"/>
      <c r="L69" s="25"/>
      <c r="M69" s="25"/>
      <c r="N69" s="26"/>
      <c r="O69" s="25"/>
      <c r="P69" s="26"/>
      <c r="Q69" s="25"/>
      <c r="R69" s="26"/>
      <c r="S69" s="25"/>
      <c r="T69" s="26"/>
      <c r="U69" s="24"/>
      <c r="V69" s="24"/>
    </row>
    <row r="70" ht="21.75" customHeight="1" spans="1:22">
      <c r="A70" s="21" t="str">
        <f t="shared" si="2"/>
        <v/>
      </c>
      <c r="B70" s="22"/>
      <c r="C70" s="23"/>
      <c r="D70" s="24"/>
      <c r="E70" s="23"/>
      <c r="F70" s="25"/>
      <c r="G70" s="25"/>
      <c r="H70" s="26"/>
      <c r="I70" s="27" t="str">
        <f ca="1" t="shared" si="3"/>
        <v/>
      </c>
      <c r="J70" s="25"/>
      <c r="K70" s="26"/>
      <c r="L70" s="25"/>
      <c r="M70" s="25"/>
      <c r="N70" s="26"/>
      <c r="O70" s="25"/>
      <c r="P70" s="26"/>
      <c r="Q70" s="25"/>
      <c r="R70" s="26"/>
      <c r="S70" s="25"/>
      <c r="T70" s="26"/>
      <c r="U70" s="24"/>
      <c r="V70" s="24"/>
    </row>
    <row r="71" ht="21.75" customHeight="1" spans="1:22">
      <c r="A71" s="21" t="str">
        <f t="shared" si="2"/>
        <v/>
      </c>
      <c r="B71" s="22"/>
      <c r="C71" s="23"/>
      <c r="D71" s="24"/>
      <c r="E71" s="23"/>
      <c r="F71" s="25"/>
      <c r="G71" s="25"/>
      <c r="H71" s="26"/>
      <c r="I71" s="27" t="str">
        <f ca="1" t="shared" si="3"/>
        <v/>
      </c>
      <c r="J71" s="25"/>
      <c r="K71" s="26"/>
      <c r="L71" s="25"/>
      <c r="M71" s="25"/>
      <c r="N71" s="26"/>
      <c r="O71" s="25"/>
      <c r="P71" s="26"/>
      <c r="Q71" s="25"/>
      <c r="R71" s="26"/>
      <c r="S71" s="25"/>
      <c r="T71" s="26"/>
      <c r="U71" s="24"/>
      <c r="V71" s="24"/>
    </row>
    <row r="72" ht="21.75" customHeight="1" spans="1:22">
      <c r="A72" s="21" t="str">
        <f t="shared" si="2"/>
        <v/>
      </c>
      <c r="B72" s="22"/>
      <c r="C72" s="23"/>
      <c r="D72" s="24"/>
      <c r="E72" s="23"/>
      <c r="F72" s="25"/>
      <c r="G72" s="25"/>
      <c r="H72" s="26"/>
      <c r="I72" s="27" t="str">
        <f ca="1" t="shared" si="3"/>
        <v/>
      </c>
      <c r="J72" s="25"/>
      <c r="K72" s="26"/>
      <c r="L72" s="25"/>
      <c r="M72" s="25"/>
      <c r="N72" s="26"/>
      <c r="O72" s="25"/>
      <c r="P72" s="26"/>
      <c r="Q72" s="25"/>
      <c r="R72" s="26"/>
      <c r="S72" s="25"/>
      <c r="T72" s="26"/>
      <c r="U72" s="24"/>
      <c r="V72" s="24"/>
    </row>
    <row r="73" ht="21.75" customHeight="1" spans="1:22">
      <c r="A73" s="21" t="str">
        <f t="shared" si="2"/>
        <v/>
      </c>
      <c r="B73" s="22"/>
      <c r="C73" s="23"/>
      <c r="D73" s="24"/>
      <c r="E73" s="23"/>
      <c r="F73" s="25"/>
      <c r="G73" s="25"/>
      <c r="H73" s="26"/>
      <c r="I73" s="27" t="str">
        <f ca="1" t="shared" si="3"/>
        <v/>
      </c>
      <c r="J73" s="25"/>
      <c r="K73" s="26"/>
      <c r="L73" s="25"/>
      <c r="M73" s="25"/>
      <c r="N73" s="26"/>
      <c r="O73" s="25"/>
      <c r="P73" s="26"/>
      <c r="Q73" s="25"/>
      <c r="R73" s="26"/>
      <c r="S73" s="25"/>
      <c r="T73" s="26"/>
      <c r="U73" s="24"/>
      <c r="V73" s="24"/>
    </row>
    <row r="74" ht="21.75" customHeight="1" spans="1:22">
      <c r="A74" s="21" t="str">
        <f t="shared" si="2"/>
        <v/>
      </c>
      <c r="B74" s="22"/>
      <c r="C74" s="23"/>
      <c r="D74" s="24"/>
      <c r="E74" s="23"/>
      <c r="F74" s="25"/>
      <c r="G74" s="25"/>
      <c r="H74" s="26"/>
      <c r="I74" s="27" t="str">
        <f ca="1" t="shared" si="3"/>
        <v/>
      </c>
      <c r="J74" s="25"/>
      <c r="K74" s="26"/>
      <c r="L74" s="25"/>
      <c r="M74" s="25"/>
      <c r="N74" s="26"/>
      <c r="O74" s="25"/>
      <c r="P74" s="26"/>
      <c r="Q74" s="25"/>
      <c r="R74" s="26"/>
      <c r="S74" s="25"/>
      <c r="T74" s="26"/>
      <c r="U74" s="24"/>
      <c r="V74" s="24"/>
    </row>
    <row r="75" ht="21.75" customHeight="1" spans="1:22">
      <c r="A75" s="21" t="str">
        <f t="shared" si="2"/>
        <v/>
      </c>
      <c r="B75" s="22"/>
      <c r="C75" s="23"/>
      <c r="D75" s="24"/>
      <c r="E75" s="23"/>
      <c r="F75" s="25"/>
      <c r="G75" s="25"/>
      <c r="H75" s="26"/>
      <c r="I75" s="27" t="str">
        <f ca="1" t="shared" si="3"/>
        <v/>
      </c>
      <c r="J75" s="25"/>
      <c r="K75" s="26"/>
      <c r="L75" s="25"/>
      <c r="M75" s="25"/>
      <c r="N75" s="26"/>
      <c r="O75" s="25"/>
      <c r="P75" s="26"/>
      <c r="Q75" s="25"/>
      <c r="R75" s="26"/>
      <c r="S75" s="25"/>
      <c r="T75" s="26"/>
      <c r="U75" s="24"/>
      <c r="V75" s="24"/>
    </row>
    <row r="76" ht="21.75" customHeight="1" spans="1:22">
      <c r="A76" s="21" t="str">
        <f t="shared" si="2"/>
        <v/>
      </c>
      <c r="B76" s="22"/>
      <c r="C76" s="23"/>
      <c r="D76" s="24"/>
      <c r="E76" s="23"/>
      <c r="F76" s="25"/>
      <c r="G76" s="25"/>
      <c r="H76" s="26"/>
      <c r="I76" s="27" t="str">
        <f ca="1" t="shared" si="3"/>
        <v/>
      </c>
      <c r="J76" s="25"/>
      <c r="K76" s="26"/>
      <c r="L76" s="25"/>
      <c r="M76" s="25"/>
      <c r="N76" s="26"/>
      <c r="O76" s="25"/>
      <c r="P76" s="26"/>
      <c r="Q76" s="25"/>
      <c r="R76" s="26"/>
      <c r="S76" s="25"/>
      <c r="T76" s="26"/>
      <c r="U76" s="24"/>
      <c r="V76" s="24"/>
    </row>
    <row r="77" ht="21.75" customHeight="1" spans="1:22">
      <c r="A77" s="21" t="str">
        <f t="shared" si="2"/>
        <v/>
      </c>
      <c r="B77" s="22"/>
      <c r="C77" s="23"/>
      <c r="D77" s="24"/>
      <c r="E77" s="23"/>
      <c r="F77" s="25"/>
      <c r="G77" s="25"/>
      <c r="H77" s="26"/>
      <c r="I77" s="27" t="str">
        <f ca="1" t="shared" si="3"/>
        <v/>
      </c>
      <c r="J77" s="25"/>
      <c r="K77" s="26"/>
      <c r="L77" s="25"/>
      <c r="M77" s="25"/>
      <c r="N77" s="26"/>
      <c r="O77" s="25"/>
      <c r="P77" s="26"/>
      <c r="Q77" s="25"/>
      <c r="R77" s="26"/>
      <c r="S77" s="25"/>
      <c r="T77" s="26"/>
      <c r="U77" s="24"/>
      <c r="V77" s="24"/>
    </row>
    <row r="78" ht="21.75" customHeight="1" spans="1:22">
      <c r="A78" s="21" t="str">
        <f t="shared" si="2"/>
        <v/>
      </c>
      <c r="B78" s="22"/>
      <c r="C78" s="23"/>
      <c r="D78" s="24"/>
      <c r="E78" s="23"/>
      <c r="F78" s="25"/>
      <c r="G78" s="25"/>
      <c r="H78" s="26"/>
      <c r="I78" s="27" t="str">
        <f ca="1" t="shared" si="3"/>
        <v/>
      </c>
      <c r="J78" s="25"/>
      <c r="K78" s="26"/>
      <c r="L78" s="25"/>
      <c r="M78" s="25"/>
      <c r="N78" s="26"/>
      <c r="O78" s="25"/>
      <c r="P78" s="26"/>
      <c r="Q78" s="25"/>
      <c r="R78" s="26"/>
      <c r="S78" s="25"/>
      <c r="T78" s="26"/>
      <c r="U78" s="24"/>
      <c r="V78" s="24"/>
    </row>
    <row r="79" ht="21.75" customHeight="1" spans="1:22">
      <c r="A79" s="21" t="str">
        <f t="shared" si="2"/>
        <v/>
      </c>
      <c r="B79" s="22"/>
      <c r="C79" s="23"/>
      <c r="D79" s="24"/>
      <c r="E79" s="23"/>
      <c r="F79" s="25"/>
      <c r="G79" s="25"/>
      <c r="H79" s="26"/>
      <c r="I79" s="27" t="str">
        <f ca="1" t="shared" si="3"/>
        <v/>
      </c>
      <c r="J79" s="25"/>
      <c r="K79" s="26"/>
      <c r="L79" s="25"/>
      <c r="M79" s="25"/>
      <c r="N79" s="26"/>
      <c r="O79" s="25"/>
      <c r="P79" s="26"/>
      <c r="Q79" s="25"/>
      <c r="R79" s="26"/>
      <c r="S79" s="25"/>
      <c r="T79" s="26"/>
      <c r="U79" s="24"/>
      <c r="V79" s="24"/>
    </row>
    <row r="80" ht="21.75" customHeight="1" spans="1:22">
      <c r="A80" s="21" t="str">
        <f t="shared" si="2"/>
        <v/>
      </c>
      <c r="B80" s="22"/>
      <c r="C80" s="23"/>
      <c r="D80" s="24"/>
      <c r="E80" s="23"/>
      <c r="F80" s="25"/>
      <c r="G80" s="25"/>
      <c r="H80" s="26"/>
      <c r="I80" s="27" t="str">
        <f ca="1" t="shared" si="3"/>
        <v/>
      </c>
      <c r="J80" s="25"/>
      <c r="K80" s="26"/>
      <c r="L80" s="25"/>
      <c r="M80" s="25"/>
      <c r="N80" s="26"/>
      <c r="O80" s="25"/>
      <c r="P80" s="26"/>
      <c r="Q80" s="25"/>
      <c r="R80" s="26"/>
      <c r="S80" s="25"/>
      <c r="T80" s="26"/>
      <c r="U80" s="24"/>
      <c r="V80" s="24"/>
    </row>
    <row r="81" ht="21.75" customHeight="1" spans="1:22">
      <c r="A81" s="21" t="str">
        <f t="shared" si="2"/>
        <v/>
      </c>
      <c r="B81" s="22"/>
      <c r="C81" s="23"/>
      <c r="D81" s="24"/>
      <c r="E81" s="23"/>
      <c r="F81" s="25"/>
      <c r="G81" s="25"/>
      <c r="H81" s="26"/>
      <c r="I81" s="27" t="str">
        <f ca="1" t="shared" si="3"/>
        <v/>
      </c>
      <c r="J81" s="25"/>
      <c r="K81" s="26"/>
      <c r="L81" s="25"/>
      <c r="M81" s="25"/>
      <c r="N81" s="26"/>
      <c r="O81" s="25"/>
      <c r="P81" s="26"/>
      <c r="Q81" s="25"/>
      <c r="R81" s="26"/>
      <c r="S81" s="25"/>
      <c r="T81" s="26"/>
      <c r="U81" s="24"/>
      <c r="V81" s="24"/>
    </row>
    <row r="82" ht="21.75" customHeight="1" spans="1:22">
      <c r="A82" s="21" t="str">
        <f t="shared" si="2"/>
        <v/>
      </c>
      <c r="B82" s="22"/>
      <c r="C82" s="23"/>
      <c r="D82" s="24"/>
      <c r="E82" s="23"/>
      <c r="F82" s="25"/>
      <c r="G82" s="25"/>
      <c r="H82" s="26"/>
      <c r="I82" s="27" t="str">
        <f ca="1" t="shared" si="3"/>
        <v/>
      </c>
      <c r="J82" s="25"/>
      <c r="K82" s="26"/>
      <c r="L82" s="25"/>
      <c r="M82" s="25"/>
      <c r="N82" s="26"/>
      <c r="O82" s="25"/>
      <c r="P82" s="26"/>
      <c r="Q82" s="25"/>
      <c r="R82" s="26"/>
      <c r="S82" s="25"/>
      <c r="T82" s="26"/>
      <c r="U82" s="24"/>
      <c r="V82" s="24"/>
    </row>
    <row r="83" ht="21.75" customHeight="1" spans="1:22">
      <c r="A83" s="21" t="str">
        <f t="shared" si="2"/>
        <v/>
      </c>
      <c r="B83" s="22"/>
      <c r="C83" s="23"/>
      <c r="D83" s="24"/>
      <c r="E83" s="23"/>
      <c r="F83" s="25"/>
      <c r="G83" s="25"/>
      <c r="H83" s="26"/>
      <c r="I83" s="27" t="str">
        <f ca="1" t="shared" si="3"/>
        <v/>
      </c>
      <c r="J83" s="25"/>
      <c r="K83" s="26"/>
      <c r="L83" s="25"/>
      <c r="M83" s="25"/>
      <c r="N83" s="26"/>
      <c r="O83" s="25"/>
      <c r="P83" s="26"/>
      <c r="Q83" s="25"/>
      <c r="R83" s="26"/>
      <c r="S83" s="25"/>
      <c r="T83" s="26"/>
      <c r="U83" s="24"/>
      <c r="V83" s="24"/>
    </row>
    <row r="84" ht="21.75" customHeight="1" spans="1:22">
      <c r="A84" s="21" t="str">
        <f t="shared" si="2"/>
        <v/>
      </c>
      <c r="B84" s="22"/>
      <c r="C84" s="23"/>
      <c r="D84" s="24"/>
      <c r="E84" s="23"/>
      <c r="F84" s="25"/>
      <c r="G84" s="25"/>
      <c r="H84" s="26"/>
      <c r="I84" s="27" t="str">
        <f ca="1" t="shared" si="3"/>
        <v/>
      </c>
      <c r="J84" s="25"/>
      <c r="K84" s="26"/>
      <c r="L84" s="25"/>
      <c r="M84" s="25"/>
      <c r="N84" s="26"/>
      <c r="O84" s="25"/>
      <c r="P84" s="26"/>
      <c r="Q84" s="25"/>
      <c r="R84" s="26"/>
      <c r="S84" s="25"/>
      <c r="T84" s="26"/>
      <c r="U84" s="24"/>
      <c r="V84" s="24"/>
    </row>
    <row r="85" ht="21.75" customHeight="1" spans="1:22">
      <c r="A85" s="21" t="str">
        <f t="shared" si="2"/>
        <v/>
      </c>
      <c r="B85" s="22"/>
      <c r="C85" s="23"/>
      <c r="D85" s="24"/>
      <c r="E85" s="23"/>
      <c r="F85" s="25"/>
      <c r="G85" s="25"/>
      <c r="H85" s="26"/>
      <c r="I85" s="27" t="str">
        <f ca="1" t="shared" si="3"/>
        <v/>
      </c>
      <c r="J85" s="25"/>
      <c r="K85" s="26"/>
      <c r="L85" s="25"/>
      <c r="M85" s="25"/>
      <c r="N85" s="26"/>
      <c r="O85" s="25"/>
      <c r="P85" s="26"/>
      <c r="Q85" s="25"/>
      <c r="R85" s="26"/>
      <c r="S85" s="25"/>
      <c r="T85" s="26"/>
      <c r="U85" s="24"/>
      <c r="V85" s="24"/>
    </row>
    <row r="86" ht="21.75" customHeight="1" spans="1:22">
      <c r="A86" s="21" t="str">
        <f t="shared" si="2"/>
        <v/>
      </c>
      <c r="B86" s="22"/>
      <c r="C86" s="23"/>
      <c r="D86" s="24"/>
      <c r="E86" s="23"/>
      <c r="F86" s="25"/>
      <c r="G86" s="25"/>
      <c r="H86" s="26"/>
      <c r="I86" s="27" t="str">
        <f ca="1" t="shared" si="3"/>
        <v/>
      </c>
      <c r="J86" s="25"/>
      <c r="K86" s="26"/>
      <c r="L86" s="25"/>
      <c r="M86" s="25"/>
      <c r="N86" s="26"/>
      <c r="O86" s="25"/>
      <c r="P86" s="26"/>
      <c r="Q86" s="25"/>
      <c r="R86" s="26"/>
      <c r="S86" s="25"/>
      <c r="T86" s="26"/>
      <c r="U86" s="24"/>
      <c r="V86" s="24"/>
    </row>
    <row r="87" ht="21.75" customHeight="1" spans="1:22">
      <c r="A87" s="21" t="str">
        <f t="shared" si="2"/>
        <v/>
      </c>
      <c r="B87" s="22"/>
      <c r="C87" s="23"/>
      <c r="D87" s="24"/>
      <c r="E87" s="23"/>
      <c r="F87" s="25"/>
      <c r="G87" s="25"/>
      <c r="H87" s="26"/>
      <c r="I87" s="27" t="str">
        <f ca="1" t="shared" si="3"/>
        <v/>
      </c>
      <c r="J87" s="25"/>
      <c r="K87" s="26"/>
      <c r="L87" s="25"/>
      <c r="M87" s="25"/>
      <c r="N87" s="26"/>
      <c r="O87" s="25"/>
      <c r="P87" s="26"/>
      <c r="Q87" s="25"/>
      <c r="R87" s="26"/>
      <c r="S87" s="25"/>
      <c r="T87" s="26"/>
      <c r="U87" s="24"/>
      <c r="V87" s="24"/>
    </row>
    <row r="88" ht="21.75" customHeight="1" spans="1:22">
      <c r="A88" s="21" t="str">
        <f t="shared" si="2"/>
        <v/>
      </c>
      <c r="B88" s="22"/>
      <c r="C88" s="23"/>
      <c r="D88" s="24"/>
      <c r="E88" s="23"/>
      <c r="F88" s="25"/>
      <c r="G88" s="25"/>
      <c r="H88" s="26"/>
      <c r="I88" s="27" t="str">
        <f ca="1" t="shared" si="3"/>
        <v/>
      </c>
      <c r="J88" s="25"/>
      <c r="K88" s="26"/>
      <c r="L88" s="25"/>
      <c r="M88" s="25"/>
      <c r="N88" s="26"/>
      <c r="O88" s="25"/>
      <c r="P88" s="26"/>
      <c r="Q88" s="25"/>
      <c r="R88" s="26"/>
      <c r="S88" s="25"/>
      <c r="T88" s="26"/>
      <c r="U88" s="24"/>
      <c r="V88" s="24"/>
    </row>
    <row r="89" ht="21.75" customHeight="1" spans="1:22">
      <c r="A89" s="21" t="str">
        <f t="shared" si="2"/>
        <v/>
      </c>
      <c r="B89" s="22"/>
      <c r="C89" s="23"/>
      <c r="D89" s="24"/>
      <c r="E89" s="23"/>
      <c r="F89" s="25"/>
      <c r="G89" s="25"/>
      <c r="H89" s="26"/>
      <c r="I89" s="27" t="str">
        <f ca="1" t="shared" si="3"/>
        <v/>
      </c>
      <c r="J89" s="25"/>
      <c r="K89" s="26"/>
      <c r="L89" s="25"/>
      <c r="M89" s="25"/>
      <c r="N89" s="26"/>
      <c r="O89" s="25"/>
      <c r="P89" s="26"/>
      <c r="Q89" s="25"/>
      <c r="R89" s="26"/>
      <c r="S89" s="25"/>
      <c r="T89" s="26"/>
      <c r="U89" s="24"/>
      <c r="V89" s="24"/>
    </row>
    <row r="90" ht="21.75" customHeight="1" spans="1:22">
      <c r="A90" s="21" t="str">
        <f t="shared" si="2"/>
        <v/>
      </c>
      <c r="B90" s="22"/>
      <c r="C90" s="23"/>
      <c r="D90" s="24"/>
      <c r="E90" s="23"/>
      <c r="F90" s="25"/>
      <c r="G90" s="25"/>
      <c r="H90" s="26"/>
      <c r="I90" s="27" t="str">
        <f ca="1" t="shared" si="3"/>
        <v/>
      </c>
      <c r="J90" s="25"/>
      <c r="K90" s="26"/>
      <c r="L90" s="25"/>
      <c r="M90" s="25"/>
      <c r="N90" s="26"/>
      <c r="O90" s="25"/>
      <c r="P90" s="26"/>
      <c r="Q90" s="25"/>
      <c r="R90" s="26"/>
      <c r="S90" s="25"/>
      <c r="T90" s="26"/>
      <c r="U90" s="24"/>
      <c r="V90" s="24"/>
    </row>
    <row r="91" ht="21.75" customHeight="1" spans="1:22">
      <c r="A91" s="21" t="str">
        <f t="shared" si="2"/>
        <v/>
      </c>
      <c r="B91" s="22"/>
      <c r="C91" s="23"/>
      <c r="D91" s="24"/>
      <c r="E91" s="23"/>
      <c r="F91" s="25"/>
      <c r="G91" s="25"/>
      <c r="H91" s="26"/>
      <c r="I91" s="27" t="str">
        <f ca="1" t="shared" si="3"/>
        <v/>
      </c>
      <c r="J91" s="25"/>
      <c r="K91" s="26"/>
      <c r="L91" s="25"/>
      <c r="M91" s="25"/>
      <c r="N91" s="26"/>
      <c r="O91" s="25"/>
      <c r="P91" s="26"/>
      <c r="Q91" s="25"/>
      <c r="R91" s="26"/>
      <c r="S91" s="25"/>
      <c r="T91" s="26"/>
      <c r="U91" s="24"/>
      <c r="V91" s="24"/>
    </row>
    <row r="92" ht="21.75" customHeight="1" spans="1:22">
      <c r="A92" s="21" t="str">
        <f t="shared" si="2"/>
        <v/>
      </c>
      <c r="B92" s="22"/>
      <c r="C92" s="23"/>
      <c r="D92" s="24"/>
      <c r="E92" s="23"/>
      <c r="F92" s="25"/>
      <c r="G92" s="25"/>
      <c r="H92" s="26"/>
      <c r="I92" s="27" t="str">
        <f ca="1" t="shared" si="3"/>
        <v/>
      </c>
      <c r="J92" s="25"/>
      <c r="K92" s="26"/>
      <c r="L92" s="25"/>
      <c r="M92" s="25"/>
      <c r="N92" s="26"/>
      <c r="O92" s="25"/>
      <c r="P92" s="26"/>
      <c r="Q92" s="25"/>
      <c r="R92" s="26"/>
      <c r="S92" s="25"/>
      <c r="T92" s="26"/>
      <c r="U92" s="24"/>
      <c r="V92" s="24"/>
    </row>
    <row r="93" ht="21.75" customHeight="1" spans="1:22">
      <c r="A93" s="21" t="str">
        <f t="shared" si="2"/>
        <v/>
      </c>
      <c r="B93" s="22"/>
      <c r="C93" s="23"/>
      <c r="D93" s="24"/>
      <c r="E93" s="23"/>
      <c r="F93" s="25"/>
      <c r="G93" s="25"/>
      <c r="H93" s="26"/>
      <c r="I93" s="27" t="str">
        <f ca="1" t="shared" si="3"/>
        <v/>
      </c>
      <c r="J93" s="25"/>
      <c r="K93" s="26"/>
      <c r="L93" s="25"/>
      <c r="M93" s="25"/>
      <c r="N93" s="26"/>
      <c r="O93" s="25"/>
      <c r="P93" s="26"/>
      <c r="Q93" s="25"/>
      <c r="R93" s="26"/>
      <c r="S93" s="25"/>
      <c r="T93" s="26"/>
      <c r="U93" s="24"/>
      <c r="V93" s="24"/>
    </row>
    <row r="94" ht="21.75" customHeight="1" spans="1:22">
      <c r="A94" s="21" t="str">
        <f t="shared" si="2"/>
        <v/>
      </c>
      <c r="B94" s="22"/>
      <c r="C94" s="23"/>
      <c r="D94" s="24"/>
      <c r="E94" s="23"/>
      <c r="F94" s="25"/>
      <c r="G94" s="25"/>
      <c r="H94" s="26"/>
      <c r="I94" s="27" t="str">
        <f ca="1" t="shared" si="3"/>
        <v/>
      </c>
      <c r="J94" s="25"/>
      <c r="K94" s="26"/>
      <c r="L94" s="25"/>
      <c r="M94" s="25"/>
      <c r="N94" s="26"/>
      <c r="O94" s="25"/>
      <c r="P94" s="26"/>
      <c r="Q94" s="25"/>
      <c r="R94" s="26"/>
      <c r="S94" s="25"/>
      <c r="T94" s="26"/>
      <c r="U94" s="24"/>
      <c r="V94" s="24"/>
    </row>
    <row r="95" ht="21.75" customHeight="1" spans="1:22">
      <c r="A95" s="21" t="str">
        <f t="shared" si="2"/>
        <v/>
      </c>
      <c r="B95" s="22"/>
      <c r="C95" s="23"/>
      <c r="D95" s="24"/>
      <c r="E95" s="23"/>
      <c r="F95" s="25"/>
      <c r="G95" s="25"/>
      <c r="H95" s="26"/>
      <c r="I95" s="27" t="str">
        <f ca="1" t="shared" si="3"/>
        <v/>
      </c>
      <c r="J95" s="25"/>
      <c r="K95" s="26"/>
      <c r="L95" s="25"/>
      <c r="M95" s="25"/>
      <c r="N95" s="26"/>
      <c r="O95" s="25"/>
      <c r="P95" s="26"/>
      <c r="Q95" s="25"/>
      <c r="R95" s="26"/>
      <c r="S95" s="25"/>
      <c r="T95" s="26"/>
      <c r="U95" s="24"/>
      <c r="V95" s="24"/>
    </row>
    <row r="96" ht="21.75" customHeight="1" spans="1:22">
      <c r="A96" s="21" t="str">
        <f t="shared" si="2"/>
        <v/>
      </c>
      <c r="B96" s="22"/>
      <c r="C96" s="23"/>
      <c r="D96" s="24"/>
      <c r="E96" s="23"/>
      <c r="F96" s="25"/>
      <c r="G96" s="25"/>
      <c r="H96" s="26"/>
      <c r="I96" s="27" t="str">
        <f ca="1" t="shared" si="3"/>
        <v/>
      </c>
      <c r="J96" s="25"/>
      <c r="K96" s="26"/>
      <c r="L96" s="25"/>
      <c r="M96" s="25"/>
      <c r="N96" s="26"/>
      <c r="O96" s="25"/>
      <c r="P96" s="26"/>
      <c r="Q96" s="25"/>
      <c r="R96" s="26"/>
      <c r="S96" s="25"/>
      <c r="T96" s="26"/>
      <c r="U96" s="24"/>
      <c r="V96" s="24"/>
    </row>
    <row r="97" ht="21.75" customHeight="1" spans="1:22">
      <c r="A97" s="21" t="str">
        <f t="shared" si="2"/>
        <v/>
      </c>
      <c r="B97" s="22"/>
      <c r="C97" s="23"/>
      <c r="D97" s="24"/>
      <c r="E97" s="23"/>
      <c r="F97" s="25"/>
      <c r="G97" s="25"/>
      <c r="H97" s="26"/>
      <c r="I97" s="27" t="str">
        <f ca="1" t="shared" si="3"/>
        <v/>
      </c>
      <c r="J97" s="25"/>
      <c r="K97" s="26"/>
      <c r="L97" s="25"/>
      <c r="M97" s="25"/>
      <c r="N97" s="26"/>
      <c r="O97" s="25"/>
      <c r="P97" s="26"/>
      <c r="Q97" s="25"/>
      <c r="R97" s="26"/>
      <c r="S97" s="25"/>
      <c r="T97" s="26"/>
      <c r="U97" s="24"/>
      <c r="V97" s="24"/>
    </row>
    <row r="98" ht="21.75" customHeight="1" spans="1:22">
      <c r="A98" s="21" t="str">
        <f t="shared" si="2"/>
        <v/>
      </c>
      <c r="B98" s="22"/>
      <c r="C98" s="23"/>
      <c r="D98" s="24"/>
      <c r="E98" s="23"/>
      <c r="F98" s="25"/>
      <c r="G98" s="25"/>
      <c r="H98" s="26"/>
      <c r="I98" s="27" t="str">
        <f ca="1" t="shared" si="3"/>
        <v/>
      </c>
      <c r="J98" s="25"/>
      <c r="K98" s="26"/>
      <c r="L98" s="25"/>
      <c r="M98" s="25"/>
      <c r="N98" s="26"/>
      <c r="O98" s="25"/>
      <c r="P98" s="26"/>
      <c r="Q98" s="25"/>
      <c r="R98" s="26"/>
      <c r="S98" s="25"/>
      <c r="T98" s="26"/>
      <c r="U98" s="24"/>
      <c r="V98" s="24"/>
    </row>
    <row r="99" ht="21.75" customHeight="1" spans="1:22">
      <c r="A99" s="21" t="str">
        <f t="shared" si="2"/>
        <v/>
      </c>
      <c r="B99" s="22"/>
      <c r="C99" s="23"/>
      <c r="D99" s="24"/>
      <c r="E99" s="23"/>
      <c r="F99" s="25"/>
      <c r="G99" s="25"/>
      <c r="H99" s="26"/>
      <c r="I99" s="27" t="str">
        <f ca="1" t="shared" si="3"/>
        <v/>
      </c>
      <c r="J99" s="25"/>
      <c r="K99" s="26"/>
      <c r="L99" s="25"/>
      <c r="M99" s="25"/>
      <c r="N99" s="26"/>
      <c r="O99" s="25"/>
      <c r="P99" s="26"/>
      <c r="Q99" s="25"/>
      <c r="R99" s="26"/>
      <c r="S99" s="25"/>
      <c r="T99" s="26"/>
      <c r="U99" s="24"/>
      <c r="V99" s="24"/>
    </row>
    <row r="100" ht="21.75" customHeight="1" spans="1:22">
      <c r="A100" s="21" t="str">
        <f t="shared" si="2"/>
        <v/>
      </c>
      <c r="B100" s="22"/>
      <c r="C100" s="23"/>
      <c r="D100" s="24"/>
      <c r="E100" s="23"/>
      <c r="F100" s="25"/>
      <c r="G100" s="25"/>
      <c r="H100" s="26"/>
      <c r="I100" s="27" t="str">
        <f ca="1" t="shared" si="3"/>
        <v/>
      </c>
      <c r="J100" s="25"/>
      <c r="K100" s="26"/>
      <c r="L100" s="25"/>
      <c r="M100" s="25"/>
      <c r="N100" s="26"/>
      <c r="O100" s="25"/>
      <c r="P100" s="26"/>
      <c r="Q100" s="25"/>
      <c r="R100" s="26"/>
      <c r="S100" s="25"/>
      <c r="T100" s="26"/>
      <c r="U100" s="24"/>
      <c r="V100" s="24"/>
    </row>
    <row r="101" ht="21.75" customHeight="1" spans="1:22">
      <c r="A101" s="21" t="str">
        <f t="shared" si="2"/>
        <v/>
      </c>
      <c r="B101" s="22"/>
      <c r="C101" s="23"/>
      <c r="D101" s="24"/>
      <c r="E101" s="23"/>
      <c r="F101" s="25"/>
      <c r="G101" s="25"/>
      <c r="H101" s="26"/>
      <c r="I101" s="27" t="str">
        <f ca="1" t="shared" si="3"/>
        <v/>
      </c>
      <c r="J101" s="25"/>
      <c r="K101" s="26"/>
      <c r="L101" s="25"/>
      <c r="M101" s="25"/>
      <c r="N101" s="26"/>
      <c r="O101" s="25"/>
      <c r="P101" s="26"/>
      <c r="Q101" s="25"/>
      <c r="R101" s="26"/>
      <c r="S101" s="25"/>
      <c r="T101" s="26"/>
      <c r="U101" s="24"/>
      <c r="V101" s="24"/>
    </row>
    <row r="102" ht="21.75" customHeight="1" spans="1:22">
      <c r="A102" s="21" t="str">
        <f t="shared" si="2"/>
        <v/>
      </c>
      <c r="B102" s="22"/>
      <c r="C102" s="23"/>
      <c r="D102" s="24"/>
      <c r="E102" s="23"/>
      <c r="F102" s="25"/>
      <c r="G102" s="25"/>
      <c r="H102" s="26"/>
      <c r="I102" s="27" t="str">
        <f ca="1" t="shared" si="3"/>
        <v/>
      </c>
      <c r="J102" s="25"/>
      <c r="K102" s="26"/>
      <c r="L102" s="25"/>
      <c r="M102" s="25"/>
      <c r="N102" s="26"/>
      <c r="O102" s="25"/>
      <c r="P102" s="26"/>
      <c r="Q102" s="25"/>
      <c r="R102" s="26"/>
      <c r="S102" s="25"/>
      <c r="T102" s="26"/>
      <c r="U102" s="24"/>
      <c r="V102" s="24"/>
    </row>
    <row r="103" ht="21.75" customHeight="1" spans="1:22">
      <c r="A103" s="21" t="str">
        <f t="shared" si="2"/>
        <v/>
      </c>
      <c r="B103" s="22"/>
      <c r="C103" s="23"/>
      <c r="D103" s="24"/>
      <c r="E103" s="23"/>
      <c r="F103" s="25"/>
      <c r="G103" s="25"/>
      <c r="H103" s="26"/>
      <c r="I103" s="27" t="str">
        <f ca="1" t="shared" si="3"/>
        <v/>
      </c>
      <c r="J103" s="25"/>
      <c r="K103" s="26"/>
      <c r="L103" s="25"/>
      <c r="M103" s="25"/>
      <c r="N103" s="26"/>
      <c r="O103" s="25"/>
      <c r="P103" s="26"/>
      <c r="Q103" s="25"/>
      <c r="R103" s="26"/>
      <c r="S103" s="25"/>
      <c r="T103" s="26"/>
      <c r="U103" s="24"/>
      <c r="V103" s="24"/>
    </row>
    <row r="104" ht="21.75" customHeight="1" spans="1:22">
      <c r="A104" s="21" t="str">
        <f t="shared" si="2"/>
        <v/>
      </c>
      <c r="B104" s="22"/>
      <c r="C104" s="23"/>
      <c r="D104" s="24"/>
      <c r="E104" s="23"/>
      <c r="F104" s="25"/>
      <c r="G104" s="25"/>
      <c r="H104" s="26"/>
      <c r="I104" s="27" t="str">
        <f ca="1" t="shared" si="3"/>
        <v/>
      </c>
      <c r="J104" s="25"/>
      <c r="K104" s="26"/>
      <c r="L104" s="25"/>
      <c r="M104" s="25"/>
      <c r="N104" s="26"/>
      <c r="O104" s="25"/>
      <c r="P104" s="26"/>
      <c r="Q104" s="25"/>
      <c r="R104" s="26"/>
      <c r="S104" s="25"/>
      <c r="T104" s="26"/>
      <c r="U104" s="24"/>
      <c r="V104" s="24"/>
    </row>
  </sheetData>
  <autoFilter xmlns:etc="http://www.wps.cn/officeDocument/2017/etCustomData" ref="A4:V104" etc:filterBottomFollowUsedRange="0">
    <extLst/>
  </autoFilter>
  <mergeCells count="7">
    <mergeCell ref="A3:I3"/>
    <mergeCell ref="J3:L3"/>
    <mergeCell ref="M3:N3"/>
    <mergeCell ref="O3:P3"/>
    <mergeCell ref="Q3:R3"/>
    <mergeCell ref="S3:T3"/>
    <mergeCell ref="U3:V3"/>
  </mergeCells>
  <conditionalFormatting sqref="F5:F104">
    <cfRule type="cellIs" dxfId="0" priority="2" operator="equal">
      <formula>"High Potential"</formula>
    </cfRule>
    <cfRule type="cellIs" dxfId="1" priority="3" operator="equal">
      <formula>"Check per role"</formula>
    </cfRule>
    <cfRule type="cellIs" dxfId="2" priority="4" operator="equal">
      <formula>"Selective"</formula>
    </cfRule>
    <cfRule type="cellIs" dxfId="2" priority="5" operator="equal">
      <formula>"Role Dependent"</formula>
    </cfRule>
    <cfRule type="cellIs" dxfId="3" priority="6" operator="equal">
      <formula>"Action Required"</formula>
    </cfRule>
    <cfRule type="cellIs" dxfId="4" priority="7" operator="equal">
      <formula>"Restricted"</formula>
    </cfRule>
    <cfRule type="cellIs" dxfId="5" priority="8" operator="equal">
      <formula>"No Sponsorship"</formula>
    </cfRule>
    <cfRule type="cellIs" dxfId="6" priority="9" operator="equal">
      <formula>"Unconfirmed"</formula>
    </cfRule>
    <cfRule type="cellIs" dxfId="6" priority="10" operator="equal">
      <formula>"N/A"</formula>
    </cfRule>
  </conditionalFormatting>
  <conditionalFormatting sqref="G5:G104">
    <cfRule type="cellIs" dxfId="5" priority="11" operator="equal">
      <formula>"High"</formula>
    </cfRule>
    <cfRule type="cellIs" dxfId="2" priority="12" operator="equal">
      <formula>"Medium"</formula>
    </cfRule>
    <cfRule type="cellIs" dxfId="6" priority="13" operator="equal">
      <formula>"Low"</formula>
    </cfRule>
  </conditionalFormatting>
  <conditionalFormatting sqref="I5:I104">
    <cfRule type="expression" dxfId="7" priority="46">
      <formula>AND(ISNUMBER(I5),I5&lt;0)</formula>
    </cfRule>
    <cfRule type="expression" dxfId="8" priority="47">
      <formula>AND(ISNUMBER(I5),I5&lt;=7)</formula>
    </cfRule>
    <cfRule type="expression" dxfId="2" priority="48">
      <formula>AND(ISNUMBER(I5),I5&lt;=21)</formula>
    </cfRule>
    <cfRule type="expression" dxfId="9" priority="49">
      <formula>ISNUMBER(I5)</formula>
    </cfRule>
  </conditionalFormatting>
  <conditionalFormatting sqref="J5:J104">
    <cfRule type="cellIs" dxfId="10" priority="14" operator="equal">
      <formula>"Yes"</formula>
    </cfRule>
    <cfRule type="cellIs" dxfId="11" priority="15" operator="equal">
      <formula>"No"</formula>
    </cfRule>
  </conditionalFormatting>
  <conditionalFormatting sqref="L5:L104">
    <cfRule type="cellIs" dxfId="12" priority="16" operator="equal">
      <formula>"Submitted"</formula>
    </cfRule>
    <cfRule type="cellIs" dxfId="2" priority="17" operator="equal">
      <formula>"In Progress"</formula>
    </cfRule>
    <cfRule type="cellIs" dxfId="13" priority="18" operator="equal">
      <formula>"Under Review"</formula>
    </cfRule>
    <cfRule type="cellIs" dxfId="8" priority="19" operator="equal">
      <formula>"Rejected"</formula>
    </cfRule>
    <cfRule type="cellIs" dxfId="6" priority="20" operator="equal">
      <formula>"Withdrawn"</formula>
    </cfRule>
    <cfRule type="cellIs" dxfId="14" priority="21" operator="equal">
      <formula>"Offer Received"</formula>
    </cfRule>
    <cfRule type="cellIs" dxfId="15" priority="22" operator="equal">
      <formula>"Not Applied"</formula>
    </cfRule>
  </conditionalFormatting>
  <conditionalFormatting sqref="M5:M104">
    <cfRule type="cellIs" dxfId="12" priority="23" operator="equal">
      <formula>"Invited"</formula>
    </cfRule>
    <cfRule type="cellIs" dxfId="13" priority="24" operator="equal">
      <formula>"Scheduled"</formula>
    </cfRule>
    <cfRule type="cellIs" dxfId="2" priority="25" operator="equal">
      <formula>"Completed"</formula>
    </cfRule>
    <cfRule type="cellIs" dxfId="14" priority="26" operator="equal">
      <formula>"Passed"</formula>
    </cfRule>
    <cfRule type="cellIs" dxfId="8" priority="27" operator="equal">
      <formula>"Failed"</formula>
    </cfRule>
    <cfRule type="cellIs" dxfId="16" priority="28" operator="equal">
      <formula>"Not Invited"</formula>
    </cfRule>
  </conditionalFormatting>
  <conditionalFormatting sqref="O5:O104">
    <cfRule type="cellIs" dxfId="12" priority="29" operator="equal">
      <formula>"Invited"</formula>
    </cfRule>
    <cfRule type="cellIs" dxfId="13" priority="30" operator="equal">
      <formula>"Scheduled"</formula>
    </cfRule>
    <cfRule type="cellIs" dxfId="2" priority="31" operator="equal">
      <formula>"Completed"</formula>
    </cfRule>
    <cfRule type="cellIs" dxfId="14" priority="32" operator="equal">
      <formula>"Passed"</formula>
    </cfRule>
    <cfRule type="cellIs" dxfId="8" priority="33" operator="equal">
      <formula>"Failed"</formula>
    </cfRule>
    <cfRule type="cellIs" dxfId="16" priority="34" operator="equal">
      <formula>"Not Invited"</formula>
    </cfRule>
  </conditionalFormatting>
  <conditionalFormatting sqref="Q5:Q104">
    <cfRule type="cellIs" dxfId="12" priority="35" operator="equal">
      <formula>"Invited"</formula>
    </cfRule>
    <cfRule type="cellIs" dxfId="13" priority="36" operator="equal">
      <formula>"Scheduled"</formula>
    </cfRule>
    <cfRule type="cellIs" dxfId="2" priority="37" operator="equal">
      <formula>"Completed"</formula>
    </cfRule>
    <cfRule type="cellIs" dxfId="14" priority="38" operator="equal">
      <formula>"Passed"</formula>
    </cfRule>
    <cfRule type="cellIs" dxfId="8" priority="39" operator="equal">
      <formula>"Failed"</formula>
    </cfRule>
    <cfRule type="cellIs" dxfId="16" priority="40" operator="equal">
      <formula>"Not Invited"</formula>
    </cfRule>
  </conditionalFormatting>
  <conditionalFormatting sqref="S5:S104">
    <cfRule type="cellIs" dxfId="14" priority="41" operator="equal">
      <formula>"Offer Received"</formula>
    </cfRule>
    <cfRule type="cellIs" dxfId="17" priority="42" operator="equal">
      <formula>"Accepted"</formula>
    </cfRule>
    <cfRule type="cellIs" dxfId="6" priority="43" operator="equal">
      <formula>"Declined"</formula>
    </cfRule>
    <cfRule type="cellIs" dxfId="8" priority="44" operator="equal">
      <formula>"Rejected"</formula>
    </cfRule>
    <cfRule type="cellIs" dxfId="16" priority="45" operator="equal">
      <formula>"No Offer Yet"</formula>
    </cfRule>
  </conditionalFormatting>
  <conditionalFormatting sqref="A5:V104">
    <cfRule type="expression" dxfId="18" priority="50">
      <formula>MOD(ROW(),2)=0</formula>
    </cfRule>
  </conditionalFormatting>
  <dataValidations count="7">
    <dataValidation type="list" allowBlank="1" showErrorMessage="1" errorTitle="Pick from list" error="Please choose a value from the dropdown." sqref="F5:F104">
      <formula1>Lists!$A$4:$A$12</formula1>
    </dataValidation>
    <dataValidation type="list" allowBlank="1" showErrorMessage="1" errorTitle="Pick from list" error="Please choose a value from the dropdown." sqref="G5:G104">
      <formula1>Lists!$B$4:$B$6</formula1>
    </dataValidation>
    <dataValidation type="date" operator="greaterThan" allowBlank="1" showInputMessage="1" showErrorMessage="1" errorTitle="Invalid date" error="Enter a valid date, e.g. 16/10/2026 (or pick it from the date picker)." promptTitle="Date" prompt="Pick or type a date. Shortcut: Ctrl + ; inserts today." sqref="H5:H104 K5:K104 N5:N104 P5:P104 R5:R104 T5:T104">
      <formula1>43831</formula1>
    </dataValidation>
    <dataValidation type="list" allowBlank="1" showErrorMessage="1" errorTitle="Pick from list" error="Please choose a value from the dropdown." sqref="J5:J104">
      <formula1>Lists!$C$4:$C$5</formula1>
    </dataValidation>
    <dataValidation type="list" allowBlank="1" showErrorMessage="1" errorTitle="Pick from list" error="Please choose a value from the dropdown." sqref="L5:L104">
      <formula1>Lists!$D$4:$D$10</formula1>
    </dataValidation>
    <dataValidation type="list" allowBlank="1" showErrorMessage="1" errorTitle="Pick from list" error="Please choose a value from the dropdown." sqref="M5:M104 O5:O104 Q5:Q104">
      <formula1>Lists!$E$4:$E$9</formula1>
    </dataValidation>
    <dataValidation type="list" allowBlank="1" showErrorMessage="1" errorTitle="Pick from list" error="Please choose a value from the dropdown." sqref="S5:S104">
      <formula1>Lists!$F$4:$F$8</formula1>
    </dataValidation>
  </dataValidations>
  <pageMargins left="0.75" right="0.75" top="1" bottom="1" header="0.511811023622047" footer="0.511811023622047"/>
  <pageSetup paperSize="1" fitToHeight="0" orientation="landscape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12"/>
  <sheetViews>
    <sheetView showGridLines="0" workbookViewId="0">
      <selection activeCell="A1" sqref="A1"/>
    </sheetView>
  </sheetViews>
  <sheetFormatPr defaultColWidth="8.6796875" defaultRowHeight="16.8" outlineLevelCol="5"/>
  <cols>
    <col min="1" max="6" width="22" customWidth="1"/>
  </cols>
  <sheetData>
    <row r="1" spans="1:6">
      <c r="A1" s="1" t="s">
        <v>214</v>
      </c>
    </row>
    <row r="3" spans="1:6">
      <c r="A3" s="2" t="s">
        <v>61</v>
      </c>
      <c r="B3" s="2" t="s">
        <v>62</v>
      </c>
      <c r="C3" s="2" t="s">
        <v>215</v>
      </c>
      <c r="D3" s="2" t="s">
        <v>67</v>
      </c>
      <c r="E3" s="2" t="s">
        <v>216</v>
      </c>
      <c r="F3" s="2" t="s">
        <v>25</v>
      </c>
    </row>
    <row r="4" spans="1:6">
      <c r="A4" s="3" t="s">
        <v>31</v>
      </c>
      <c r="B4" s="3" t="s">
        <v>77</v>
      </c>
      <c r="C4" s="3" t="s">
        <v>107</v>
      </c>
      <c r="D4" s="3" t="s">
        <v>79</v>
      </c>
      <c r="E4" s="3" t="s">
        <v>80</v>
      </c>
      <c r="F4" s="3" t="s">
        <v>81</v>
      </c>
    </row>
    <row r="5" spans="1:6">
      <c r="A5" s="3" t="s">
        <v>33</v>
      </c>
      <c r="B5" s="3" t="s">
        <v>95</v>
      </c>
      <c r="C5" s="3" t="s">
        <v>78</v>
      </c>
      <c r="D5" s="3" t="s">
        <v>217</v>
      </c>
      <c r="E5" s="3" t="s">
        <v>218</v>
      </c>
      <c r="F5" s="3" t="s">
        <v>219</v>
      </c>
    </row>
    <row r="6" spans="1:6">
      <c r="A6" s="3" t="s">
        <v>35</v>
      </c>
      <c r="B6" s="3" t="s">
        <v>113</v>
      </c>
      <c r="D6" s="3" t="s">
        <v>108</v>
      </c>
      <c r="E6" s="3" t="s">
        <v>220</v>
      </c>
      <c r="F6" s="3" t="s">
        <v>221</v>
      </c>
    </row>
    <row r="7" spans="1:6">
      <c r="A7" s="3" t="s">
        <v>37</v>
      </c>
      <c r="D7" s="3" t="s">
        <v>222</v>
      </c>
      <c r="E7" s="3" t="s">
        <v>223</v>
      </c>
      <c r="F7" s="3" t="s">
        <v>224</v>
      </c>
    </row>
    <row r="8" spans="1:6">
      <c r="A8" s="3" t="s">
        <v>39</v>
      </c>
      <c r="D8" s="3" t="s">
        <v>225</v>
      </c>
      <c r="E8" s="3" t="s">
        <v>226</v>
      </c>
      <c r="F8" s="3" t="s">
        <v>225</v>
      </c>
    </row>
    <row r="9" spans="1:6">
      <c r="A9" s="3" t="s">
        <v>41</v>
      </c>
      <c r="D9" s="3" t="s">
        <v>227</v>
      </c>
      <c r="E9" s="3" t="s">
        <v>228</v>
      </c>
    </row>
    <row r="10" spans="1:6">
      <c r="A10" s="3" t="s">
        <v>43</v>
      </c>
      <c r="D10" s="3" t="s">
        <v>219</v>
      </c>
    </row>
    <row r="11" spans="1:6">
      <c r="A11" s="3" t="s">
        <v>44</v>
      </c>
    </row>
    <row r="12" spans="1:6">
      <c r="A12" s="3" t="s">
        <v>45</v>
      </c>
    </row>
  </sheetData>
  <pageMargins left="0.75" right="0.75" top="1" bottom="1" header="0.511811023622047" footer="0.511811023622047"/>
  <pageSetup paperSize="1" fitToHeight="0" orientation="landscape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Dashboard</vt:lpstr>
      <vt:lpstr>Tracker</vt:lpstr>
      <vt:lpstr>Lists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afolabiazeez</cp:lastModifiedBy>
  <cp:revision>1</cp:revision>
  <dcterms:created xsi:type="dcterms:W3CDTF">2026-10-12T19:57:00Z</dcterms:created>
  <dcterms:modified xsi:type="dcterms:W3CDTF">2026-10-14T12:40:37Z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EFA6C01DAE2240AE356ACF6A309E07C7_43</vt:lpwstr>
  </property>
  <property fmtid="{D5CDD505-2E9C-101B-9397-08002B2CF9AE}" pid="3" name="KSOProductBuildVer">
    <vt:lpwstr>1033-12.1.28496.28496</vt:lpwstr>
  </property>
  <property fmtid="{D5CDD505-2E9C-101B-9397-08002B2CF9AE}" pid="4" name="CalculationRule">
    <vt:i4>0</vt:i4>
  </property>
</Properties>
</file>